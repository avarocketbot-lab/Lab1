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7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vmlDrawing2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Quote" sheetId="1" state="visible" r:id="rId3"/>
    <sheet name="Guided Configurator" sheetId="2" state="visible" r:id="rId4"/>
    <sheet name="Accessories &amp; Services" sheetId="3" state="visible" r:id="rId5"/>
    <sheet name="Quote Summary" sheetId="4" state="visible" r:id="rId6"/>
    <sheet name="Printable Quote" sheetId="5" state="visible" r:id="rId7"/>
    <sheet name="Instructions" sheetId="6" state="visible" r:id="rId8"/>
    <sheet name="Pricing Database" sheetId="7" state="hidden" r:id="rId9"/>
    <sheet name="Sensor Rules" sheetId="8" state="hidden" r:id="rId10"/>
    <sheet name="Lists" sheetId="9" state="hidden" r:id="rId11"/>
  </sheets>
  <definedNames>
    <definedName function="false" hidden="false" localSheetId="2" name="_xlnm.Print_Area" vbProcedure="false">'Accessories &amp; Services'!$B$2:$N$35</definedName>
    <definedName function="false" hidden="false" localSheetId="2" name="_xlnm.Print_Titles" vbProcedure="false">'Accessories &amp; Services'!$5:$5</definedName>
    <definedName function="false" hidden="true" localSheetId="2" name="_xlnm._FilterDatabase" vbProcedure="false">'Accessories &amp; Services'!$B$5:$N$33</definedName>
    <definedName function="false" hidden="false" localSheetId="1" name="_xlnm.Print_Area" vbProcedure="false">'Guided Configurator'!$B$2:$S$19</definedName>
    <definedName function="false" hidden="false" localSheetId="1" name="_xlnm.Print_Titles" vbProcedure="false">'Guided Configurator'!$7:$7</definedName>
    <definedName function="false" hidden="true" localSheetId="1" name="_xlnm._FilterDatabase" vbProcedure="false">'Guided Configurator'!$B$7:$Q$17</definedName>
    <definedName function="false" hidden="false" localSheetId="5" name="_xlnm.Print_Area" vbProcedure="false">Instructions!$B$2:$C$24</definedName>
    <definedName function="false" hidden="true" localSheetId="6" name="_xlnm._FilterDatabase" vbProcedure="false">'Pricing Database'!$A$4:$F$118</definedName>
    <definedName function="false" hidden="false" localSheetId="4" name="_xlnm.Print_Area" vbProcedure="false">'Printable Quote'!$B$2:$H$58</definedName>
    <definedName function="false" hidden="false" localSheetId="3" name="_xlnm.Print_Area" vbProcedure="false">'Quote Summary'!$B$2:$F$27</definedName>
    <definedName function="false" hidden="false" localSheetId="0" name="_xlnm.Print_Area" vbProcedure="false">'Start Quote'!$B$2:$F$28</definedName>
    <definedName function="false" hidden="false" name="AccRank" vbProcedure="false">Lists!$N$2:$N$29</definedName>
    <definedName function="false" hidden="false" name="AccRankRow" vbProcedure="false">Lists!$L$2:$L$29</definedName>
    <definedName function="false" hidden="false" name="Acc_Subtotal" vbProcedure="false">'Accessories &amp; Services'!$M$35</definedName>
    <definedName function="false" hidden="false" name="CfgRank" vbProcedure="false">Lists!$J$2:$J$11</definedName>
    <definedName function="false" hidden="false" name="CfgRankRow" vbProcedure="false">Lists!$H$2:$H$11</definedName>
    <definedName function="false" hidden="false" name="Config_Subtotal" vbProcedure="false">'Guided Configurator'!$N$19</definedName>
    <definedName function="false" hidden="false" name="Cust_Company" vbProcedure="false">'Start Quote'!$C$14</definedName>
    <definedName function="false" hidden="false" name="Cust_Contact" vbProcedure="false">'Start Quote'!$C$15</definedName>
    <definedName function="false" hidden="false" name="Cust_Email" vbProcedure="false">'Start Quote'!$C$16</definedName>
    <definedName function="false" hidden="false" name="Cust_Notes" vbProcedure="false">'Start Quote'!$C$25</definedName>
    <definedName function="false" hidden="false" name="Cust_Phone" vbProcedure="false">'Start Quote'!$F$14</definedName>
    <definedName function="false" hidden="false" name="Cust_Project" vbProcedure="false">'Start Quote'!$F$15</definedName>
    <definedName function="false" hidden="false" name="DB_Cat" vbProcedure="false">'Pricing Database'!$A$5:$A$119</definedName>
    <definedName function="false" hidden="false" name="DB_Desc" vbProcedure="false">'Pricing Database'!$D$5:$D$119</definedName>
    <definedName function="false" hidden="false" name="DB_Key" vbProcedure="false">'Pricing Database'!$B$5:$B$119</definedName>
    <definedName function="false" hidden="false" name="DB_Rate" vbProcedure="false">'Pricing Database'!$E$5:$E$119</definedName>
    <definedName function="false" hidden="false" name="DB_SKU" vbProcedure="false">'Pricing Database'!$C$5:$C$119</definedName>
    <definedName function="false" hidden="false" name="Default_Days" vbProcedure="false">'Start Quote'!$F$10</definedName>
    <definedName function="false" hidden="false" name="DeviceList" vbProcedure="false">Lists!$A$2:$A$7</definedName>
    <definedName function="false" hidden="false" name="DeviceMap" vbProcedure="false">Lists!$A$2:$C$7</definedName>
    <definedName function="false" hidden="false" name="Freight" vbProcedure="false">'Start Quote'!$C$20</definedName>
    <definedName function="false" hidden="false" name="Internal_Notes" vbProcedure="false">'Start Quote'!$C$27</definedName>
    <definedName function="false" hidden="false" name="LEL_List" vbProcedure="false">'Sensor Rules'!$H$5:$H$7</definedName>
    <definedName function="false" hidden="false" name="MethodList" vbProcedure="false">Lists!$F$2:$F$3</definedName>
    <definedName function="false" hidden="false" name="Misc_Charge" vbProcedure="false">'Start Quote'!$C$21</definedName>
    <definedName function="false" hidden="false" name="O2_List" vbProcedure="false">'Sensor Rules'!$I$5:$I$6</definedName>
    <definedName function="false" hidden="false" name="Quote_Date" vbProcedure="false">'Start Quote'!$C$9</definedName>
    <definedName function="false" hidden="false" name="Quote_GrandTotal" vbProcedure="false">'Start Quote'!$F$22</definedName>
    <definedName function="false" hidden="false" name="Quote_Number" vbProcedure="false">'Start Quote'!$C$8</definedName>
    <definedName function="false" hidden="false" name="Quote_Subtotal" vbProcedure="false">'Start Quote'!$F$21</definedName>
    <definedName function="false" hidden="false" name="Rental_End" vbProcedure="false">'Start Quote'!$F$9</definedName>
    <definedName function="false" hidden="false" name="Rental_Start" vbProcedure="false">'Start Quote'!$F$8</definedName>
    <definedName function="false" hidden="false" name="Salesperson" vbProcedure="false">'Start Quote'!$C$11</definedName>
    <definedName function="false" hidden="false" name="SensorCode" vbProcedure="false">'Sensor Rules'!$E$5:$E$25</definedName>
    <definedName function="false" hidden="false" name="SensorMap" vbProcedure="false">'Sensor Rules'!$D$5:$F$25</definedName>
    <definedName function="false" hidden="false" name="SensorName" vbProcedure="false">'Sensor Rules'!$D$5:$D$25</definedName>
    <definedName function="false" hidden="false" name="SensorTier" vbProcedure="false">'Sensor Rules'!$F$5:$F$25</definedName>
    <definedName function="false" hidden="false" name="Tax_Rate" vbProcedure="false">'Start Quote'!$C$19</definedName>
    <definedName function="false" hidden="false" name="TierKeys" vbProcedure="false">'Sensor Rules'!$A$5:$B$8</definedName>
    <definedName function="false" hidden="false" name="Tox1_List" vbProcedure="false">'Sensor Rules'!$J$5:$J$21</definedName>
    <definedName function="false" hidden="false" name="Tox2_List" vbProcedure="false">'Sensor Rules'!$K$5:$K$20</definedName>
    <definedName function="false" hidden="false" name="Validity_Days" vbProcedure="false">'Start Quote'!$F$11</definedName>
    <definedName function="false" hidden="false" name="Valid_Through" vbProcedure="false">'Start Quote'!$C$10</definedName>
    <definedName function="false" hidden="false" name="YesNoList" vbProcedure="false">Lists!$D$2:$D$3</definedName>
    <definedName function="false" hidden="false" localSheetId="" name="GEMList" vbProcedure="false">Lists!$P$2:$P$13</definedName>
    <definedName function="false" hidden="false" localSheetId="" name="GEMMap" vbProcedure="false">Lists!$P$2:$R$13</definedName>
  </definedNames>
  <calcPr fullCalcOnLoad="true"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Configurator</author>
  </authors>
  <commentList>
    <comment ref="C8" authorId="0">
      <text>
        <r>
          <rPr>
            <sz val="10"/>
            <rFont val="Arial"/>
            <family val="2"/>
          </rPr>
          <t xml:space="preserve">Pick device+mode. Diffusion vs Pump is part of the device choice (e.g. G7C Pump). Base daily rate comes from USD List column C.</t>
        </r>
      </text>
    </comment>
    <comment ref="D8" authorId="0">
      <text>
        <r>
          <rPr>
            <sz val="10"/>
            <rFont val="Arial"/>
            <family val="2"/>
          </rPr>
          <t xml:space="preserve">LEL / combustible sensor. Two valid types from the purchase/lease selector: LEL-IR and LEL-MPS, or No Sensor.</t>
        </r>
      </text>
    </comment>
    <comment ref="F8" authorId="0">
      <text>
        <r>
          <rPr>
            <sz val="10"/>
            <rFont val="Arial"/>
            <family val="2"/>
          </rPr>
          <t xml:space="preserve">Toxic Sensor 1. Full valid toxic list from selector logic. No Sensor allowed.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Quoting Tool</author>
  </authors>
  <commentList>
    <comment ref="E74" authorId="0">
      <text>
        <r>
          <rPr>
            <sz val="10"/>
            <rFont val="Arial"/>
            <family val="2"/>
          </rPr>
          <t xml:space="preserve">Missing daily rate in source. Manual price required via override. Never uses List Price (col E).</t>
        </r>
      </text>
    </comment>
  </commentList>
</comments>
</file>

<file path=xl/sharedStrings.xml><?xml version="1.0" encoding="utf-8"?>
<sst xmlns="http://schemas.openxmlformats.org/spreadsheetml/2006/main" count="847" uniqueCount="421">
  <si>
    <t xml:space="preserve">RENTAL QUOTE — START QUOTE</t>
  </si>
  <si>
    <t xml:space="preserve">Gas detection equipment rental. Enter quote &amp; customer details. Yellow cells are inputs.</t>
  </si>
  <si>
    <t xml:space="preserve">LEGEND:</t>
  </si>
  <si>
    <t xml:space="preserve">Input</t>
  </si>
  <si>
    <t xml:space="preserve">Calculated</t>
  </si>
  <si>
    <t xml:space="preserve">QUOTE DETAILS</t>
  </si>
  <si>
    <t xml:space="preserve">Quote Number</t>
  </si>
  <si>
    <t xml:space="preserve">Rental Start Date</t>
  </si>
  <si>
    <t xml:space="preserve">Quote Date</t>
  </si>
  <si>
    <t xml:space="preserve">Rental End Date</t>
  </si>
  <si>
    <t xml:space="preserve">Valid Through</t>
  </si>
  <si>
    <t xml:space="preserve">Default Rental Days</t>
  </si>
  <si>
    <t xml:space="preserve">Salesperson</t>
  </si>
  <si>
    <t xml:space="preserve">Validity (days)</t>
  </si>
  <si>
    <t xml:space="preserve">CUSTOMER INFORMATION</t>
  </si>
  <si>
    <t xml:space="preserve">Customer / Company</t>
  </si>
  <si>
    <t xml:space="preserve">Phone</t>
  </si>
  <si>
    <t xml:space="preserve">Contact Name</t>
  </si>
  <si>
    <t xml:space="preserve">Project / Site</t>
  </si>
  <si>
    <t xml:space="preserve">Email</t>
  </si>
  <si>
    <t xml:space="preserve">CHARGES &amp; TAX</t>
  </si>
  <si>
    <t xml:space="preserve">Tax Rate</t>
  </si>
  <si>
    <t xml:space="preserve">Configured Equipment</t>
  </si>
  <si>
    <t xml:space="preserve">Freight</t>
  </si>
  <si>
    <t xml:space="preserve">Accessories &amp; Services</t>
  </si>
  <si>
    <t xml:space="preserve">Miscellaneous Charge</t>
  </si>
  <si>
    <t xml:space="preserve">Subtotal</t>
  </si>
  <si>
    <t xml:space="preserve">Grand Total</t>
  </si>
  <si>
    <t xml:space="preserve">NOTES</t>
  </si>
  <si>
    <t xml:space="preserve">Customer Notes</t>
  </si>
  <si>
    <t xml:space="preserve">Internal Notes</t>
  </si>
  <si>
    <t xml:space="preserve">GUIDED CONFIGURATOR</t>
  </si>
  <si>
    <t xml:space="preserve">Configure up to 10 multi-gas units. Pick Device, then individually select LEL, O2, Toxic 1 and Toxic 2 sensors. Daily rate = base rental (USD List col C) + sensor upgrade surcharges. Yellow = input; grey = calculated.</t>
  </si>
  <si>
    <t xml:space="preserve">Legend:</t>
  </si>
  <si>
    <t xml:space="preserve">#</t>
  </si>
  <si>
    <t xml:space="preserve">Device</t>
  </si>
  <si>
    <t xml:space="preserve">LEL Sensor</t>
  </si>
  <si>
    <t xml:space="preserve">O2</t>
  </si>
  <si>
    <t xml:space="preserve">Toxic 1</t>
  </si>
  <si>
    <t xml:space="preserve">Toxic 2</t>
  </si>
  <si>
    <t xml:space="preserve">Qty</t>
  </si>
  <si>
    <t xml:space="preserve">Days</t>
  </si>
  <si>
    <t xml:space="preserve">Disc %</t>
  </si>
  <si>
    <t xml:space="preserve">Base Daily</t>
  </si>
  <si>
    <t xml:space="preserve">Sensor Upg. Daily</t>
  </si>
  <si>
    <t xml:space="preserve">Unit Daily</t>
  </si>
  <si>
    <t xml:space="preserve">Extended Total</t>
  </si>
  <si>
    <t xml:space="preserve">Config Code</t>
  </si>
  <si>
    <t xml:space="preserve">Configuration Description</t>
  </si>
  <si>
    <t xml:space="preserve">Status</t>
  </si>
  <si>
    <t xml:space="preserve">LEL-IR</t>
  </si>
  <si>
    <t xml:space="preserve">No Sensor</t>
  </si>
  <si>
    <t xml:space="preserve">Configured Equipment Subtotal</t>
  </si>
  <si>
    <t xml:space="preserve">ACCESSORIES &amp; SERVICES</t>
  </si>
  <si>
    <t xml:space="preserve">Add G7/EXO accessories, bridges, services, monitoring, consumables, calibration gas and training. All rates from USD List column C. Choose Daily or One-Time. Use Rate Override for blank/manual-rate lines.</t>
  </si>
  <si>
    <t xml:space="preserve">Include</t>
  </si>
  <si>
    <t xml:space="preserve">SKU</t>
  </si>
  <si>
    <t xml:space="preserve">Description</t>
  </si>
  <si>
    <t xml:space="preserve">Category</t>
  </si>
  <si>
    <t xml:space="preserve">Method</t>
  </si>
  <si>
    <t xml:space="preserve">Daily Rate</t>
  </si>
  <si>
    <t xml:space="preserve">Rate Override</t>
  </si>
  <si>
    <t xml:space="preserve">Eff. Rate</t>
  </si>
  <si>
    <t xml:space="preserve">Extended</t>
  </si>
  <si>
    <t xml:space="preserve">Notes</t>
  </si>
  <si>
    <t xml:space="preserve">No</t>
  </si>
  <si>
    <t xml:space="preserve">RENT-BEACON</t>
  </si>
  <si>
    <t xml:space="preserve">Daily</t>
  </si>
  <si>
    <t xml:space="preserve">RENT-TRAIN</t>
  </si>
  <si>
    <t xml:space="preserve">RENTAL-ONE-TIME</t>
  </si>
  <si>
    <t xml:space="preserve">Accessories Subtotal</t>
  </si>
  <si>
    <t xml:space="preserve">QUOTE SUMMARY (INTERNAL)</t>
  </si>
  <si>
    <t xml:space="preserve">Consolidated view of configured equipment and add-ons with totals.</t>
  </si>
  <si>
    <t xml:space="preserve">Configuration</t>
  </si>
  <si>
    <t xml:space="preserve">Code</t>
  </si>
  <si>
    <t xml:space="preserve">Miscellaneous</t>
  </si>
  <si>
    <t xml:space="preserve">GRAND TOTAL</t>
  </si>
  <si>
    <t xml:space="preserve">RENTAL QUOTATION</t>
  </si>
  <si>
    <t xml:space="preserve">Gas Detection Equipment Rental — 2026 Pricing</t>
  </si>
  <si>
    <t xml:space="preserve">Customer</t>
  </si>
  <si>
    <t xml:space="preserve">Contact</t>
  </si>
  <si>
    <t xml:space="preserve">Email / Phone</t>
  </si>
  <si>
    <t xml:space="preserve">CONFIGURED EQUIPMENT</t>
  </si>
  <si>
    <t xml:space="preserve">Disc</t>
  </si>
  <si>
    <t xml:space="preserve">Amount</t>
  </si>
  <si>
    <t xml:space="preserve">Rate</t>
  </si>
  <si>
    <t xml:space="preserve">Notes:</t>
  </si>
  <si>
    <t xml:space="preserve">Configured daily rate = base rental rate + applicable sensor upgrade daily rates (USD List column C). Rates marked "One-Time" are flat charges. Quote valid through the date shown. Taxes, freight and miscellaneous as listed.</t>
  </si>
  <si>
    <t xml:space="preserve">HOW TO USE THIS RENTAL QUOTING TOOL (CONCEPT A)</t>
  </si>
  <si>
    <t xml:space="preserve">1</t>
  </si>
  <si>
    <t xml:space="preserve">Start Quote tab — fill the yellow inputs: quote number, dates, salesperson, customer details, rental start/end, tax, freight and miscellaneous. Valid Through and Default Rental Days calculate automatically.</t>
  </si>
  <si>
    <t xml:space="preserve">2</t>
  </si>
  <si>
    <t xml:space="preserve">Guided Configurator tab — the main interface. For each of up to 10 lines: pick a Device (diffusion or pump is part of the device choice), then individually select the LEL sensor, O2, Toxic 1 and Toxic 2. Set Qty, Days and Discount.</t>
  </si>
  <si>
    <t xml:space="preserve">3</t>
  </si>
  <si>
    <t xml:space="preserve">The tool shows Base Daily, Sensor Upgrades Daily, Configured Unit Daily, Extended Total, a config code, a readable configuration description, and a Status (Complete / Duplicate sensors / Unknown rate / Review).</t>
  </si>
  <si>
    <t xml:space="preserve">4</t>
  </si>
  <si>
    <t xml:space="preserve">Accessories &amp; Services tab — add any accessory, bridge, service, monitoring, consumable, calibration gas or training. Set Include = Yes, pick a SKU, choose Daily or One-Time, set Qty/Days/Discount. Use Rate Override for blank/manual-rate lines.</t>
  </si>
  <si>
    <t xml:space="preserve">5</t>
  </si>
  <si>
    <t xml:space="preserve">Quote Summary tab — internal consolidated view of configured equipment plus add-ons with subtotal, freight, misc, tax and grand total.</t>
  </si>
  <si>
    <t xml:space="preserve">6</t>
  </si>
  <si>
    <t xml:space="preserve">Printable Quote tab — clean customer-facing page listing each configured unit (with sensor description) then add-ons and totals. Print area, margins and repeating headers are preset.</t>
  </si>
  <si>
    <t xml:space="preserve">PRICING LOGIC &amp; ASSUMPTIONS</t>
  </si>
  <si>
    <t xml:space="preserve">• Configured daily rate = Base rental rate (device, from USD List column C) + sensor upgrade daily rates.</t>
  </si>
  <si>
    <t xml:space="preserve">• Sensor upgrade tiers (from USD List descriptions): Premium Sensors = $3.20/day; Advanced Sensor (CO2) = $8.00/day; VOC/HF (PID, HF) = $12.00/day.</t>
  </si>
  <si>
    <t xml:space="preserve">• Standard sensors (H2S, CO, SO2, O2, LEL-IR, LEL-MPS) and No Sensor add $0/day — the source does not list a separate daily rental surcharge for them.</t>
  </si>
  <si>
    <t xml:space="preserve">• The dollar surcharge for each tier is a LOOKUP to the hidden Pricing Database (never hardcoded). Tier assignment is stored on the hidden Sensor Rules sheet.</t>
  </si>
  <si>
    <t xml:space="preserve">• Sensor names, codes and slot eligibility are reproduced from the USD-Price-List selector logic (G7 Multi-Gas Purchase sheet).</t>
  </si>
  <si>
    <t xml:space="preserve">• LEL slot offers the two valid combustible types (LEL-IR, LEL-MPS) plus No Sensor. O2 slot offers O2 or No Sensor. Toxic slots use the reference toxic list plus No Sensor.</t>
  </si>
  <si>
    <t xml:space="preserve">• Duplicate toxic sensors (Toxic 1 = Toxic 2, both non-blank) are flagged in the Status column. Extended amount = Qty x Days x Unit Daily x (1 - Discount).</t>
  </si>
  <si>
    <t xml:space="preserve">• RENTAL-ONE-TIME has no rate in the source; it is retained with a blank rate and requires a manual price via the Rate Override column on Accessories &amp; Services.</t>
  </si>
  <si>
    <t xml:space="preserve">• List Price (USD List column E) is never used for any calculation.</t>
  </si>
  <si>
    <t xml:space="preserve">LEGEND</t>
  </si>
  <si>
    <t xml:space="preserve">In</t>
  </si>
  <si>
    <t xml:space="preserve">Yellow cells — you type here.</t>
  </si>
  <si>
    <t xml:space="preserve">Ca</t>
  </si>
  <si>
    <t xml:space="preserve">Grey cells — calculated automatically, do not edit.</t>
  </si>
  <si>
    <t xml:space="preserve">PRICING DATABASE</t>
  </si>
  <si>
    <t xml:space="preserve">Source: 2026-Rental-Pricing-Workbook (USD List sheet). All Daily Rates from USD List column C (DAILY RATE). List Price (col E) is NOT used. Rates valid for 2026.</t>
  </si>
  <si>
    <t xml:space="preserve">Lookup Key</t>
  </si>
  <si>
    <t xml:space="preserve">Source Row</t>
  </si>
  <si>
    <t xml:space="preserve">G7C Portables - Diffusion</t>
  </si>
  <si>
    <t xml:space="preserve">RENT-G7C</t>
  </si>
  <si>
    <t xml:space="preserve">Rental service, G7C, diffusion, daily rate</t>
  </si>
  <si>
    <t xml:space="preserve">RENT-G7C-P</t>
  </si>
  <si>
    <t xml:space="preserve">Rental service, G7C, pump, daily rate</t>
  </si>
  <si>
    <t xml:space="preserve">G7C Lone Worker</t>
  </si>
  <si>
    <t xml:space="preserve">RENT-G7C-Z</t>
  </si>
  <si>
    <t xml:space="preserve">Rental service, G7C, standard Z cart, daily rate</t>
  </si>
  <si>
    <t xml:space="preserve">RENT-G7C-S</t>
  </si>
  <si>
    <t xml:space="preserve">Rental service, G7C, single-gas H2S, daily rate</t>
  </si>
  <si>
    <t xml:space="preserve">G7X Portables</t>
  </si>
  <si>
    <t xml:space="preserve">RENT-G7X</t>
  </si>
  <si>
    <t xml:space="preserve">Rental service, G7X, diffusion, daily rate</t>
  </si>
  <si>
    <t xml:space="preserve">RENT-G7X-P</t>
  </si>
  <si>
    <t xml:space="preserve">Rental service, G7X, pump, daily rate</t>
  </si>
  <si>
    <t xml:space="preserve">G7X Portables - Lone Worker and Single Gas</t>
  </si>
  <si>
    <t xml:space="preserve">RENT-G7X-Z</t>
  </si>
  <si>
    <t xml:space="preserve">Rental service, G7X, standard Z cart, daily rate</t>
  </si>
  <si>
    <t xml:space="preserve">RENT-G7X-S</t>
  </si>
  <si>
    <t xml:space="preserve">Rental service, G7X, single-gas, daily rate</t>
  </si>
  <si>
    <t xml:space="preserve">G7 Bridge</t>
  </si>
  <si>
    <t xml:space="preserve">RENT-BRIDGE</t>
  </si>
  <si>
    <t xml:space="preserve">Rental service, G7 bridge, daily rate</t>
  </si>
  <si>
    <t xml:space="preserve">EXO Area Monitor</t>
  </si>
  <si>
    <t xml:space="preserve">RENT-G7EXO</t>
  </si>
  <si>
    <t xml:space="preserve">Rental service, EXO, daily rate</t>
  </si>
  <si>
    <t xml:space="preserve">RENT-G7EXO-PUMP</t>
  </si>
  <si>
    <t xml:space="preserve">Rental service, EXO, pump module, daily rate</t>
  </si>
  <si>
    <t xml:space="preserve">RENT-G7EXO-SAT</t>
  </si>
  <si>
    <t xml:space="preserve">Rental service, EXO, satellite module, daily rate</t>
  </si>
  <si>
    <t xml:space="preserve">RENT-G7EXO-TRANSLATOR</t>
  </si>
  <si>
    <t xml:space="preserve">Rental service, EXO, translator, daily</t>
  </si>
  <si>
    <t xml:space="preserve">EXO 8 Gas Expansion Modules</t>
  </si>
  <si>
    <t xml:space="preserve">RENT-EX8-GEM-01</t>
  </si>
  <si>
    <t xml:space="preserve">Gas Expansion Module SO2, PID (SVXX)</t>
  </si>
  <si>
    <t xml:space="preserve">RENT-EX8-GEM-02</t>
  </si>
  <si>
    <t xml:space="preserve">Gas Expansion Module HF,NH3,SO2,PID (2ASV)</t>
  </si>
  <si>
    <t xml:space="preserve">RENT-EX8-GEM-03</t>
  </si>
  <si>
    <t xml:space="preserve">Gas Expansion Module H2,NH3,SO2,PID (6ASV)</t>
  </si>
  <si>
    <t xml:space="preserve">RENT-EX8-GEM-04</t>
  </si>
  <si>
    <t xml:space="preserve">Gas Expansion Module NH3,H2S,SO2 (AHSX)</t>
  </si>
  <si>
    <t xml:space="preserve">RENT-EX8-GEM-11</t>
  </si>
  <si>
    <t xml:space="preserve">Gas Expansion Module H2,NH3,Cl2,PID (6ALV)</t>
  </si>
  <si>
    <t xml:space="preserve">RENT-EX8-GEM-05</t>
  </si>
  <si>
    <t xml:space="preserve">Gas Expansion Module H2,Cl2,HCN,PID (6LNV)</t>
  </si>
  <si>
    <t xml:space="preserve">RENT-EX8-GEM-06</t>
  </si>
  <si>
    <t xml:space="preserve">Gas Expansion Module NH3,Cl2,HCN,PID (ALNV)</t>
  </si>
  <si>
    <t xml:space="preserve">RENT-EX8-GEM-07</t>
  </si>
  <si>
    <t xml:space="preserve">Gas Expansion Module HF, H2, HCN (26NX)</t>
  </si>
  <si>
    <t xml:space="preserve">RENT-EX8-GEM-12</t>
  </si>
  <si>
    <t xml:space="preserve">Gas Expansion Module HF,NH3,Cl2,PID (2ALV)</t>
  </si>
  <si>
    <t xml:space="preserve">RENT-EX8-GEM-09</t>
  </si>
  <si>
    <t xml:space="preserve">Gas Expansion Module NH3,H2S,Cl2,PID (AHLV)</t>
  </si>
  <si>
    <t xml:space="preserve">RENT-EX8-GEM-08</t>
  </si>
  <si>
    <t xml:space="preserve">Gas Expansion Module O3,H2,Cl2,SO2 (EHLS)</t>
  </si>
  <si>
    <t xml:space="preserve">Sensor Upgrades &amp; Cartridges</t>
  </si>
  <si>
    <t xml:space="preserve">Premium Sensors - Daily</t>
  </si>
  <si>
    <t xml:space="preserve">NH3, high range NH3, NO2, O3, high range H2S or CO, COSH, Cl2, ClO2, CO-H, HCN, H2</t>
  </si>
  <si>
    <t xml:space="preserve">Advanced Sensor - Daily</t>
  </si>
  <si>
    <t xml:space="preserve">CO2</t>
  </si>
  <si>
    <t xml:space="preserve">VOC/HF Sensor - Daily</t>
  </si>
  <si>
    <t xml:space="preserve">PID, HF</t>
  </si>
  <si>
    <t xml:space="preserve">RENT-CART-Q-XXXX</t>
  </si>
  <si>
    <t xml:space="preserve">Rental service, diffusion cartridge, std. sensors, daily rate</t>
  </si>
  <si>
    <t xml:space="preserve">RENT-CART-P-XXXX</t>
  </si>
  <si>
    <t xml:space="preserve">Rental service, pumped cartridge, std. sensors, daily rate</t>
  </si>
  <si>
    <t xml:space="preserve">G7 Accessories</t>
  </si>
  <si>
    <t xml:space="preserve">Rental service, beacon, daily rate</t>
  </si>
  <si>
    <t xml:space="preserve">RENT-ACC-G7-PWRPAC-NA</t>
  </si>
  <si>
    <t xml:space="preserve">Rental service, G7 powerpack, daily rate</t>
  </si>
  <si>
    <t xml:space="preserve">RENT-ACC-CHG-PNL-5-NA</t>
  </si>
  <si>
    <t xml:space="preserve">Rental service, 5-bay charger, daily rate</t>
  </si>
  <si>
    <t xml:space="preserve">RENT-ACC-CHG-PNL-20-NA</t>
  </si>
  <si>
    <t xml:space="preserve">Rental service, 20-bay charger, daily rate</t>
  </si>
  <si>
    <t xml:space="preserve">RENT-ACC-DOCK-STN-5-LOADED</t>
  </si>
  <si>
    <t xml:space="preserve">Rental service, wall mount, 5-bay dock, loaded</t>
  </si>
  <si>
    <t xml:space="preserve">RENT-DOCK-NA</t>
  </si>
  <si>
    <t xml:space="preserve">Rental service, G7 dock, daily rate</t>
  </si>
  <si>
    <t xml:space="preserve">RENT-DOCK-NA-W-DF</t>
  </si>
  <si>
    <t xml:space="preserve">Rental service, G7 dock and regulator, daily rate</t>
  </si>
  <si>
    <t xml:space="preserve">RENT-ACC-DFR-V</t>
  </si>
  <si>
    <t xml:space="preserve">Rental service, demand flow regulator also suitable for sticky gases</t>
  </si>
  <si>
    <t xml:space="preserve">RENT-ACC-REG</t>
  </si>
  <si>
    <t xml:space="preserve">Rental service, fixed flow regulator</t>
  </si>
  <si>
    <t xml:space="preserve">RENT-ACC-REG-1L</t>
  </si>
  <si>
    <t xml:space="preserve">Rental service, fixed flow regulator for sticky gases</t>
  </si>
  <si>
    <t xml:space="preserve">RENT-ACC-PROBE-12</t>
  </si>
  <si>
    <t xml:space="preserve">Rental service, handheld sample wand, 12", with filters</t>
  </si>
  <si>
    <t xml:space="preserve">EXO Accessories</t>
  </si>
  <si>
    <t xml:space="preserve">RENT-ACC-G7EXO-UMK</t>
  </si>
  <si>
    <t xml:space="preserve">Rental service, EXO, universal mount, daily rate</t>
  </si>
  <si>
    <t xml:space="preserve">RENT-ACC-G7EXO-UMK-GAS</t>
  </si>
  <si>
    <t xml:space="preserve">Rental service, UMK gas cylinder bracket</t>
  </si>
  <si>
    <t xml:space="preserve">RENT-AUTOBUMP-KIT</t>
  </si>
  <si>
    <t xml:space="preserve">Rental service, auto bump and calibration kit (complete bundle)</t>
  </si>
  <si>
    <t xml:space="preserve">RENT-ACC-G7EXO-HMK</t>
  </si>
  <si>
    <t xml:space="preserve">Rental service, EXO, hanging mount, daily rate</t>
  </si>
  <si>
    <t xml:space="preserve">RENT-ACC-G7EXO-UMK-SOLAR-KIT</t>
  </si>
  <si>
    <t xml:space="preserve">Rental service, EXO, solar panel kit, daily rate</t>
  </si>
  <si>
    <t xml:space="preserve">SER-RENT-ACC-G7EXO-UMK-SIREN-KIT-1D</t>
  </si>
  <si>
    <t xml:space="preserve">Rental service, G7 EXO, siren kit, daily rate</t>
  </si>
  <si>
    <t xml:space="preserve">RENT-ACC-G7EXO-BAT</t>
  </si>
  <si>
    <t xml:space="preserve">Rental service, EXO, replacement battery, daily rate</t>
  </si>
  <si>
    <t xml:space="preserve">RENT-ACC-G7EXO-TRIPOD</t>
  </si>
  <si>
    <t xml:space="preserve">Rental service, EXO, survey tripod, daily rate</t>
  </si>
  <si>
    <t xml:space="preserve">RENT-ACC-G7EXO-STANDOFF</t>
  </si>
  <si>
    <t xml:space="preserve">Rental service, EXO, standoff (low tripod), daily rate</t>
  </si>
  <si>
    <t xml:space="preserve">RENT-ACC-G7EXO-SC</t>
  </si>
  <si>
    <t xml:space="preserve">Rental service, EXO, safety tether, daily rate</t>
  </si>
  <si>
    <t xml:space="preserve">RENT-ACC-G7EXO-CARRY</t>
  </si>
  <si>
    <t xml:space="preserve">Rental service, EXO, carrying case, daily rate</t>
  </si>
  <si>
    <t xml:space="preserve">RENT-G7EXO-FAST-CHARGER</t>
  </si>
  <si>
    <t xml:space="preserve">Rental service, EXO, fast charger</t>
  </si>
  <si>
    <t xml:space="preserve">G6 Single Gas &amp; Accessories</t>
  </si>
  <si>
    <t xml:space="preserve">RENT-G6-H</t>
  </si>
  <si>
    <t xml:space="preserve">Rental service, G6, H2S</t>
  </si>
  <si>
    <t xml:space="preserve">RENT-G6-M</t>
  </si>
  <si>
    <t xml:space="preserve">Rental service, G6, CO</t>
  </si>
  <si>
    <t xml:space="preserve">RENT-G6-O</t>
  </si>
  <si>
    <t xml:space="preserve">Rental service, G6, O2</t>
  </si>
  <si>
    <t xml:space="preserve">RENT-G6-S</t>
  </si>
  <si>
    <t xml:space="preserve">Rental service, G6, SO2</t>
  </si>
  <si>
    <t xml:space="preserve">RENT-G6DOCK-NA</t>
  </si>
  <si>
    <t xml:space="preserve">Rental service, G6 dock, daily rate</t>
  </si>
  <si>
    <t xml:space="preserve">RENT-G6-CHG-05-NA</t>
  </si>
  <si>
    <t xml:space="preserve">Rental Service, G6 Multi-Unit Charger, 5 Slots</t>
  </si>
  <si>
    <t xml:space="preserve">RENT-G6-CHG-25-NA</t>
  </si>
  <si>
    <t xml:space="preserve">Rental Service, G6 Multi-Unit Charger, 25 Slots</t>
  </si>
  <si>
    <t xml:space="preserve">RENT-ACC-G6-CALTUB</t>
  </si>
  <si>
    <t xml:space="preserve">Rental service, G6 calibration kit - tubing, cal cap</t>
  </si>
  <si>
    <t xml:space="preserve">RENT-ACC-G6-POWER-NA</t>
  </si>
  <si>
    <t xml:space="preserve">Rental service, G6 charge clip, block, and cable</t>
  </si>
  <si>
    <t xml:space="preserve">Additional Services</t>
  </si>
  <si>
    <t xml:space="preserve">RENT-SCHEDULE-5M</t>
  </si>
  <si>
    <t xml:space="preserve">Custom update schedule, 5 minute frequency, daily rate</t>
  </si>
  <si>
    <t xml:space="preserve">RENT-SCHEDULE-1M</t>
  </si>
  <si>
    <t xml:space="preserve">Custom update schedule, 1 minute frequency, daily rate</t>
  </si>
  <si>
    <t xml:space="preserve">RENT-SCHEDULE-30S</t>
  </si>
  <si>
    <t xml:space="preserve">Custom update schedule, 30 second frequency, daily rate</t>
  </si>
  <si>
    <t xml:space="preserve">RENT-SCHEDULE-10S</t>
  </si>
  <si>
    <t xml:space="preserve">Custom update schedule, 10 second frequency, daily rate</t>
  </si>
  <si>
    <t xml:space="preserve">RENT-SCHEDULE-5S</t>
  </si>
  <si>
    <t xml:space="preserve">Custom update schedule, 5 second frequency, daily rate</t>
  </si>
  <si>
    <t xml:space="preserve">RENT-CALLOUT-SURCHARGE</t>
  </si>
  <si>
    <t xml:space="preserve">Emergency order surcharge - call-out between 10 PM and 6 AM</t>
  </si>
  <si>
    <t xml:space="preserve">RENT-TECH-HOUR-ST</t>
  </si>
  <si>
    <t xml:space="preserve">Technician time, hourly, (cancellation, excess cleaning, etc.)</t>
  </si>
  <si>
    <t xml:space="preserve">RENT-TECH-HOUR-OT</t>
  </si>
  <si>
    <t xml:space="preserve">Technician time, hourly, OT (callout)</t>
  </si>
  <si>
    <t xml:space="preserve">One time charge - as needed  [MANUAL PRICE REQUIRED]</t>
  </si>
  <si>
    <t xml:space="preserve">SER-RENTAL</t>
  </si>
  <si>
    <t xml:space="preserve">Distributor owned device move fee - up to 50 units</t>
  </si>
  <si>
    <t xml:space="preserve">SER-RENTAL (2)</t>
  </si>
  <si>
    <t xml:space="preserve">Distributor owned device move fee - surcharge for units over 50</t>
  </si>
  <si>
    <t xml:space="preserve">SER-RENTAL (3)</t>
  </si>
  <si>
    <t xml:space="preserve">Distributor owned device move fee - per-unit charge over 51</t>
  </si>
  <si>
    <t xml:space="preserve">Training, Daily, at Blackline Facility</t>
  </si>
  <si>
    <t xml:space="preserve">RENT-TRAVEL-1D</t>
  </si>
  <si>
    <t xml:space="preserve">Training, 1 day, at customer facility</t>
  </si>
  <si>
    <t xml:space="preserve">RENT-TRAVEL-2D</t>
  </si>
  <si>
    <t xml:space="preserve">Training, 2 days, at customer facility</t>
  </si>
  <si>
    <t xml:space="preserve">RENT-TRAVEL-3D</t>
  </si>
  <si>
    <t xml:space="preserve">Training, 3 days, at customer facility</t>
  </si>
  <si>
    <t xml:space="preserve">RENT-TRAVEL-4D</t>
  </si>
  <si>
    <t xml:space="preserve">Training, 4 days, at customer facility</t>
  </si>
  <si>
    <t xml:space="preserve">RENT-TRAVEL-5D</t>
  </si>
  <si>
    <t xml:space="preserve">Training, 5 days, at customer facility</t>
  </si>
  <si>
    <t xml:space="preserve">RENT-AUTOBUMP</t>
  </si>
  <si>
    <t xml:space="preserve">Rental Service, Auto bump &amp; calibration, daily rate</t>
  </si>
  <si>
    <t xml:space="preserve">RENT-ALERTLINK</t>
  </si>
  <si>
    <t xml:space="preserve">Rental Service, AlertLink, daily rate</t>
  </si>
  <si>
    <t xml:space="preserve">RENT-BV</t>
  </si>
  <si>
    <t xml:space="preserve">Rental Service, Blackline 24/7 live monitoring, daily rate</t>
  </si>
  <si>
    <t xml:space="preserve">Consumables</t>
  </si>
  <si>
    <t xml:space="preserve">RENT-ACC-INLET-FILTER</t>
  </si>
  <si>
    <t xml:space="preserve">PTFE inlet filter</t>
  </si>
  <si>
    <t xml:space="preserve">RENT-ACC-PUMP-STONE5</t>
  </si>
  <si>
    <t xml:space="preserve">Sintered metal pump stone, bag of 5</t>
  </si>
  <si>
    <t xml:space="preserve">RENT-ACC-PUMP-STONE1</t>
  </si>
  <si>
    <t xml:space="preserve">Sintered metal pump stone</t>
  </si>
  <si>
    <t xml:space="preserve">RENT-ACC-PROBE-12-PTFE-FILT</t>
  </si>
  <si>
    <t xml:space="preserve">Whatman PTFE hydrophobic filter for 12" sample wand</t>
  </si>
  <si>
    <t xml:space="preserve">RENT-ACC-PROBE-12-POREX-FILT</t>
  </si>
  <si>
    <t xml:space="preserve">Porex particulate filter for 12" sample wand</t>
  </si>
  <si>
    <t xml:space="preserve">RENT-ACC-PROBE-12-TUBE</t>
  </si>
  <si>
    <t xml:space="preserve">Lexan tube for 12" sample wand</t>
  </si>
  <si>
    <t xml:space="preserve">RENT-ACC-PROBE-12-ORING</t>
  </si>
  <si>
    <t xml:space="preserve">Replacement o-ring for 12" sample wand</t>
  </si>
  <si>
    <t xml:space="preserve">RENT-ACC-PROBE-12-GASKET</t>
  </si>
  <si>
    <t xml:space="preserve">Replacement gasket for 12" sample wand</t>
  </si>
  <si>
    <t xml:space="preserve">RENT-ACC-T2</t>
  </si>
  <si>
    <t xml:space="preserve">Tubing 2' tygon</t>
  </si>
  <si>
    <t xml:space="preserve">RENT-ACC-FEP-T2</t>
  </si>
  <si>
    <t xml:space="preserve">Tubing 2' teflon</t>
  </si>
  <si>
    <t xml:space="preserve">RENT-ACC-T10</t>
  </si>
  <si>
    <t xml:space="preserve">Tubing 10' tygon</t>
  </si>
  <si>
    <t xml:space="preserve">RENT-ACC-FEP-T10</t>
  </si>
  <si>
    <t xml:space="preserve">Tubing 10' teflon</t>
  </si>
  <si>
    <t xml:space="preserve">RENT-ACC-T50</t>
  </si>
  <si>
    <t xml:space="preserve">Tubing 50' tygon</t>
  </si>
  <si>
    <t xml:space="preserve">RENT-ACC-FEP-T50</t>
  </si>
  <si>
    <t xml:space="preserve">Tubing 50' teflon</t>
  </si>
  <si>
    <t xml:space="preserve">RENT-ACC-LDT100</t>
  </si>
  <si>
    <t xml:space="preserve">Tubing 100' tygon, large diameter</t>
  </si>
  <si>
    <t xml:space="preserve">RENT-ACC-PUMP-FILT10</t>
  </si>
  <si>
    <t xml:space="preserve">G7 pump particulate filters, 10</t>
  </si>
  <si>
    <t xml:space="preserve">RENT-ACC-S-CAL</t>
  </si>
  <si>
    <t xml:space="preserve">G7 single-gas calibration cap</t>
  </si>
  <si>
    <t xml:space="preserve">RENT-ACC-Q-CAL</t>
  </si>
  <si>
    <t xml:space="preserve">G7 multi-gas calibration cap</t>
  </si>
  <si>
    <t xml:space="preserve">RENT-ACC-G6-SENCAP</t>
  </si>
  <si>
    <t xml:space="preserve">G6 replacement sensor cap</t>
  </si>
  <si>
    <t xml:space="preserve">RENT-GAS-34L-Q</t>
  </si>
  <si>
    <t xml:space="preserve">34L Gas Cylinder, H2S 25ppm/CO 100ppm/CH4 50%LEL/O2 18%</t>
  </si>
  <si>
    <t xml:space="preserve">RENT-GAS-116L-Q</t>
  </si>
  <si>
    <t xml:space="preserve">116L Gas Cylinder, H2S 25ppm/CO 100ppm/CH4 50%LEL/O2 18%</t>
  </si>
  <si>
    <t xml:space="preserve">RENT-GAS-116L-S</t>
  </si>
  <si>
    <t xml:space="preserve">116L Gas Cylinder, SO2 10ppm, Balance air</t>
  </si>
  <si>
    <t xml:space="preserve">RENT-GAS-58L-A</t>
  </si>
  <si>
    <t xml:space="preserve">58L Gas Cylinder, NH3 50ppm, Balance air</t>
  </si>
  <si>
    <t xml:space="preserve">RENT-GAS-116L-A</t>
  </si>
  <si>
    <t xml:space="preserve">116L Gas Cylinder, NH3 50ppm, Balance air</t>
  </si>
  <si>
    <t xml:space="preserve">RENT-GAS-58L-L</t>
  </si>
  <si>
    <t xml:space="preserve">58L Gas Cylinder, Cl2 5ppm, Balance air</t>
  </si>
  <si>
    <t xml:space="preserve">RENT-GAS-58L-K</t>
  </si>
  <si>
    <t xml:space="preserve">58L Gas Cylinder, NO2, 10 ppm, Balance air</t>
  </si>
  <si>
    <t xml:space="preserve">RENT-GAS-116L-K</t>
  </si>
  <si>
    <t xml:space="preserve">116L Gas Cylinder, NO2, 10 ppm, Balance air</t>
  </si>
  <si>
    <t xml:space="preserve">RENT-GAS-116L-N</t>
  </si>
  <si>
    <t xml:space="preserve">116L Gas Cylinder, HCN 10 ppm, Balance air</t>
  </si>
  <si>
    <t xml:space="preserve">RENT-GAS-58L-C</t>
  </si>
  <si>
    <t xml:space="preserve">58L Gas Cylinder, CO2 5000 ppm, Balance air</t>
  </si>
  <si>
    <t xml:space="preserve">RENT-GAS-58L-V</t>
  </si>
  <si>
    <t xml:space="preserve">58L Gas Cylinder, Isobutylene 100ppm, Balance air</t>
  </si>
  <si>
    <t xml:space="preserve">RENT-GAS-116L-V</t>
  </si>
  <si>
    <t xml:space="preserve">116L Gas Cylinder, Isobutylene 100ppm, Balance air</t>
  </si>
  <si>
    <t xml:space="preserve">RENT-GAS-10AL-ZEROAIR</t>
  </si>
  <si>
    <t xml:space="preserve">Gas, 10AL Gas Cylinder, UN1002 Air, 103L</t>
  </si>
  <si>
    <t xml:space="preserve">SENSOR RULES &amp; TIER MAPPING</t>
  </si>
  <si>
    <t xml:space="preserve">Sensor names/codes reproduced from USD-Price-List selector logic (G7 Multi-Gas Purchase). Tier assignment derived from USD List descriptions: Premium Sensors row, Advanced Sensor (CO2) row, VOC/HF (PID,HF) row. Standard sensors add $0. Dollar surcharge is a LOOKUP to Pricing Database, never hardcoded.</t>
  </si>
  <si>
    <t xml:space="preserve">TIER</t>
  </si>
  <si>
    <t xml:space="preserve">Pricing DB Lookup Key</t>
  </si>
  <si>
    <t xml:space="preserve">Sensor Name</t>
  </si>
  <si>
    <t xml:space="preserve">Tier</t>
  </si>
  <si>
    <t xml:space="preserve">LEL Slot</t>
  </si>
  <si>
    <t xml:space="preserve">O2 Slot</t>
  </si>
  <si>
    <t xml:space="preserve">Toxic1 Slot</t>
  </si>
  <si>
    <t xml:space="preserve">Toxic2 Slot</t>
  </si>
  <si>
    <t xml:space="preserve">Standard</t>
  </si>
  <si>
    <t xml:space="preserve">I</t>
  </si>
  <si>
    <t xml:space="preserve">HF</t>
  </si>
  <si>
    <t xml:space="preserve">Premium</t>
  </si>
  <si>
    <t xml:space="preserve">LEL-MPS</t>
  </si>
  <si>
    <t xml:space="preserve">F</t>
  </si>
  <si>
    <t xml:space="preserve">NH3</t>
  </si>
  <si>
    <t xml:space="preserve">Advanced</t>
  </si>
  <si>
    <t xml:space="preserve">X</t>
  </si>
  <si>
    <t xml:space="preserve">High-range NH3</t>
  </si>
  <si>
    <t xml:space="preserve">VOC/HF</t>
  </si>
  <si>
    <t xml:space="preserve">O</t>
  </si>
  <si>
    <t xml:space="preserve">COSH</t>
  </si>
  <si>
    <t xml:space="preserve">O3</t>
  </si>
  <si>
    <t xml:space="preserve">A</t>
  </si>
  <si>
    <t xml:space="preserve">H2S</t>
  </si>
  <si>
    <t xml:space="preserve">B</t>
  </si>
  <si>
    <t xml:space="preserve">High-range H2S</t>
  </si>
  <si>
    <t xml:space="preserve">C</t>
  </si>
  <si>
    <t xml:space="preserve">NO2</t>
  </si>
  <si>
    <t xml:space="preserve">E</t>
  </si>
  <si>
    <t xml:space="preserve">Cl2</t>
  </si>
  <si>
    <t xml:space="preserve">H</t>
  </si>
  <si>
    <t xml:space="preserve">CO</t>
  </si>
  <si>
    <t xml:space="preserve">J</t>
  </si>
  <si>
    <t xml:space="preserve">HCN</t>
  </si>
  <si>
    <t xml:space="preserve">K</t>
  </si>
  <si>
    <t xml:space="preserve">CO-H</t>
  </si>
  <si>
    <t xml:space="preserve">L</t>
  </si>
  <si>
    <t xml:space="preserve">SO2</t>
  </si>
  <si>
    <t xml:space="preserve">M</t>
  </si>
  <si>
    <t xml:space="preserve">High-range CO</t>
  </si>
  <si>
    <t xml:space="preserve">N</t>
  </si>
  <si>
    <t xml:space="preserve">PID</t>
  </si>
  <si>
    <t xml:space="preserve">ClO2</t>
  </si>
  <si>
    <t xml:space="preserve">R</t>
  </si>
  <si>
    <t xml:space="preserve">S</t>
  </si>
  <si>
    <t xml:space="preserve">T</t>
  </si>
  <si>
    <t xml:space="preserve">V</t>
  </si>
  <si>
    <t xml:space="preserve">W</t>
  </si>
  <si>
    <t xml:space="preserve">D</t>
  </si>
  <si>
    <t xml:space="preserve">BaseKey</t>
  </si>
  <si>
    <t xml:space="preserve">YesNo</t>
  </si>
  <si>
    <t xml:space="preserve">CfgRow</t>
  </si>
  <si>
    <t xml:space="preserve">Incl</t>
  </si>
  <si>
    <t xml:space="preserve">Rank</t>
  </si>
  <si>
    <t xml:space="preserve">AccRow</t>
  </si>
  <si>
    <t xml:space="preserve">G7C Diffusion</t>
  </si>
  <si>
    <t xml:space="preserve">Yes</t>
  </si>
  <si>
    <t xml:space="preserve">G7C Pump</t>
  </si>
  <si>
    <t xml:space="preserve">One-Time</t>
  </si>
  <si>
    <t xml:space="preserve">G7X Diffusion</t>
  </si>
  <si>
    <t xml:space="preserve">G7X Pump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</si>
</sst>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m/dd/yyyy"/>
    <numFmt numFmtId="166" formatCode="0"/>
    <numFmt numFmtId="167" formatCode="0.0%"/>
    <numFmt numFmtId="168" formatCode="\$#,##0.00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b val="true"/>
      <sz val="9"/>
      <color rgb="FF0F2A3F"/>
      <name val="Calibri"/>
      <family val="0"/>
      <charset val="1"/>
    </font>
    <font>
      <sz val="10"/>
      <color rgb="FF1F2529"/>
      <name val="Calibri"/>
      <family val="0"/>
      <charset val="1"/>
    </font>
    <font>
      <b val="true"/>
      <sz val="10"/>
      <color rgb="FF0C4E54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0F2A3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sz val="9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color rgb="FF5A5F63"/>
      <name val="Calibri"/>
      <family val="0"/>
      <charset val="1"/>
    </font>
    <font>
      <b val="true"/>
      <sz val="9"/>
      <color rgb="FF0C4E54"/>
      <name val="Calibri"/>
      <family val="0"/>
      <charset val="1"/>
    </font>
    <font>
      <sz val="8"/>
      <color rgb="FF5A5F63"/>
      <name val="Calibri"/>
      <family val="0"/>
      <charset val="1"/>
    </font>
    <font>
      <sz val="8"/>
      <color rgb="FF1F2529"/>
      <name val="Calibri"/>
      <family val="0"/>
      <charset val="1"/>
    </font>
    <font>
      <b val="true"/>
      <sz val="9"/>
      <name val="Calibri"/>
      <family val="0"/>
      <charset val="1"/>
    </font>
    <font>
      <sz val="10"/>
      <name val="Arial"/>
      <family val="2"/>
    </font>
    <font>
      <sz val="9"/>
      <color rgb="FF1F2529"/>
      <name val="Calibri"/>
      <family val="0"/>
      <charset val="1"/>
    </font>
    <font>
      <sz val="9"/>
      <color rgb="FF0F2A3F"/>
      <name val="Calibri"/>
      <family val="0"/>
      <charset val="1"/>
    </font>
    <font>
      <sz val="10"/>
      <color rgb="FF0F2A3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b val="true"/>
      <sz val="9"/>
      <color rgb="FF5A5F63"/>
      <name val="Calibri"/>
      <family val="0"/>
      <charset val="1"/>
    </font>
    <font>
      <sz val="8"/>
      <name val="Calibri"/>
      <family val="0"/>
      <charset val="1"/>
    </font>
    <font>
      <sz val="8"/>
      <color rgb="FF0F2A3F"/>
      <name val="Calibri"/>
      <family val="0"/>
      <charset val="1"/>
    </font>
    <font>
      <i val="true"/>
      <sz val="8"/>
      <color rgb="FF5A5F63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b val="true"/>
      <sz val="11"/>
      <color rgb="FF0C4E54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color rgb="FF0F2A3F"/>
      <name val="Calibri"/>
      <family val="0"/>
      <charset val="1"/>
    </font>
    <font>
      <sz val="10"/>
      <name val="Calibri"/>
      <family val="0"/>
      <charset val="1"/>
    </font>
    <font>
      <b val="true"/>
      <sz val="13"/>
      <color rgb="FF0F2A3F"/>
      <name val="Calibri"/>
      <family val="0"/>
      <charset val="1"/>
    </font>
    <font>
      <i val="true"/>
      <sz val="9"/>
      <color rgb="FF5A5F63"/>
      <name val="Calibri"/>
      <family val="0"/>
      <charset val="1"/>
    </font>
    <font>
      <b val="true"/>
      <sz val="10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F2A3F"/>
        <bgColor rgb="FF1F2529"/>
      </patternFill>
    </fill>
    <fill>
      <patternFill patternType="solid">
        <fgColor rgb="FF12707A"/>
        <bgColor rgb="FF008080"/>
      </patternFill>
    </fill>
    <fill>
      <patternFill patternType="solid">
        <fgColor rgb="FFFFF7D6"/>
        <bgColor rgb="FFFFF0C2"/>
      </patternFill>
    </fill>
    <fill>
      <patternFill patternType="solid">
        <fgColor rgb="FFEDF2F4"/>
        <bgColor rgb="FFEAF0F1"/>
      </patternFill>
    </fill>
    <fill>
      <patternFill patternType="solid">
        <fgColor rgb="FF0C4E54"/>
        <bgColor rgb="FF1E5B1E"/>
      </patternFill>
    </fill>
    <fill>
      <patternFill patternType="solid">
        <fgColor rgb="FFF4F6F7"/>
        <bgColor rgb="FFEDF2F4"/>
      </patternFill>
    </fill>
    <fill>
      <patternFill patternType="solid">
        <fgColor rgb="FFEAF0F1"/>
        <bgColor rgb="FFEDF2F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B900"/>
      </left>
      <right style="thin">
        <color rgb="FFD9B900"/>
      </right>
      <top style="thin">
        <color rgb="FFD9B900"/>
      </top>
      <bottom style="thin">
        <color rgb="FFD9B900"/>
      </bottom>
      <diagonal/>
    </border>
    <border diagonalUp="false" diagonalDown="false">
      <left style="thin">
        <color rgb="FFC7CED2"/>
      </left>
      <right style="thin">
        <color rgb="FFC7CED2"/>
      </right>
      <top style="thin">
        <color rgb="FFC7CED2"/>
      </top>
      <bottom style="thin">
        <color rgb="FFC7CE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9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5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5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8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0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6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7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7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1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0" fillId="5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2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3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6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7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0" fillId="7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7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9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0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31" fillId="6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3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FFD6D6"/>
        </patternFill>
      </fill>
    </dxf>
    <dxf>
      <fill>
        <patternFill patternType="solid">
          <fgColor rgb="FF0C4E5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F2A3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7D6"/>
          <bgColor rgb="FF000000"/>
        </patternFill>
      </fill>
    </dxf>
    <dxf>
      <fill>
        <patternFill patternType="solid">
          <fgColor rgb="FFEDF2F4"/>
          <bgColor rgb="FF000000"/>
        </patternFill>
      </fill>
    </dxf>
    <dxf>
      <fill>
        <patternFill patternType="solid">
          <fgColor rgb="FF5A5F63"/>
          <bgColor rgb="FF000000"/>
        </patternFill>
      </fill>
    </dxf>
    <dxf>
      <fill>
        <patternFill patternType="solid">
          <fgColor rgb="FF1F2529"/>
          <bgColor rgb="FF000000"/>
        </patternFill>
      </fill>
    </dxf>
    <dxf>
      <font>
        <b val="1"/>
        <color rgb="FF1E5B1E"/>
      </font>
      <fill>
        <patternFill>
          <bgColor rgb="FFD9EAD3"/>
        </patternFill>
      </fill>
    </dxf>
    <dxf>
      <font>
        <b val="1"/>
        <color rgb="FF9C1B1B"/>
      </font>
      <fill>
        <patternFill>
          <bgColor rgb="FFFFD6D6"/>
        </patternFill>
      </fill>
    </dxf>
    <dxf>
      <font>
        <b val="1"/>
        <color rgb="FF8A6D00"/>
      </font>
      <fill>
        <patternFill>
          <bgColor rgb="FFFFF0C2"/>
        </patternFill>
      </fill>
    </dxf>
    <dxf>
      <fill>
        <patternFill patternType="solid">
          <fgColor rgb="FFF4F6F7"/>
          <bgColor rgb="FF000000"/>
        </patternFill>
      </fill>
    </dxf>
    <dxf>
      <fill>
        <patternFill patternType="solid">
          <fgColor rgb="FFFFD6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D00"/>
      <rgbColor rgb="FF800080"/>
      <rgbColor rgb="FF12707A"/>
      <rgbColor rgb="FFC7CED2"/>
      <rgbColor rgb="FF808080"/>
      <rgbColor rgb="FF9999FF"/>
      <rgbColor rgb="FF993366"/>
      <rgbColor rgb="FFFFF7D6"/>
      <rgbColor rgb="FFEAF0F1"/>
      <rgbColor rgb="FF660066"/>
      <rgbColor rgb="FFFF8080"/>
      <rgbColor rgb="FF0066CC"/>
      <rgbColor rgb="FFF4F6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2F4"/>
      <rgbColor rgb="FFD9EAD3"/>
      <rgbColor rgb="FFFFF0C2"/>
      <rgbColor rgb="FF99CCFF"/>
      <rgbColor rgb="FFFF99CC"/>
      <rgbColor rgb="FFCC99FF"/>
      <rgbColor rgb="FFFFD6D6"/>
      <rgbColor rgb="FF3366FF"/>
      <rgbColor rgb="FF33CCCC"/>
      <rgbColor rgb="FF99CC00"/>
      <rgbColor rgb="FFD9B900"/>
      <rgbColor rgb="FFFF9900"/>
      <rgbColor rgb="FFFF6600"/>
      <rgbColor rgb="FF5A5F63"/>
      <rgbColor rgb="FF969696"/>
      <rgbColor rgb="FF0F2A3F"/>
      <rgbColor rgb="FF339966"/>
      <rgbColor rgb="FF0C4E54"/>
      <rgbColor rgb="FF1E5B1E"/>
      <rgbColor rgb="FF9C1B1B"/>
      <rgbColor rgb="FF993366"/>
      <rgbColor rgb="FF333399"/>
      <rgbColor rgb="FF1F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2707A"/>
    <pageSetUpPr fitToPage="true"/>
  </sheetPr>
  <dimension ref="B2:F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4" min="4" style="1" width="4"/>
    <col collapsed="false" customWidth="true" hidden="false" outlineLevel="0" max="5" min="5" style="1" width="22"/>
    <col collapsed="false" customWidth="true" hidden="false" outlineLevel="0" max="6" min="6" style="1" width="30"/>
  </cols>
  <sheetData>
    <row r="2" customFormat="false" ht="31.5" hidden="false" customHeight="true" outlineLevel="0" collapsed="false">
      <c r="B2" s="2" t="s">
        <v>0</v>
      </c>
      <c r="C2" s="2"/>
      <c r="D2" s="2"/>
      <c r="E2" s="2"/>
      <c r="F2" s="2"/>
    </row>
    <row r="3" customFormat="false" ht="15" hidden="false" customHeight="true" outlineLevel="0" collapsed="false">
      <c r="B3" s="3" t="s">
        <v>1</v>
      </c>
      <c r="C3" s="3"/>
      <c r="D3" s="3"/>
      <c r="E3" s="3"/>
      <c r="F3" s="3"/>
    </row>
    <row r="5" customFormat="false" ht="15" hidden="false" customHeight="true" outlineLevel="0" collapsed="false">
      <c r="B5" s="4" t="s">
        <v>2</v>
      </c>
      <c r="C5" s="5" t="s">
        <v>3</v>
      </c>
      <c r="E5" s="6" t="s">
        <v>4</v>
      </c>
    </row>
    <row r="7" customFormat="false" ht="19.5" hidden="false" customHeight="true" outlineLevel="0" collapsed="false">
      <c r="B7" s="7" t="s">
        <v>5</v>
      </c>
      <c r="C7" s="7"/>
      <c r="D7" s="7"/>
      <c r="E7" s="7"/>
      <c r="F7" s="7"/>
    </row>
    <row r="8" customFormat="false" ht="15" hidden="false" customHeight="true" outlineLevel="0" collapsed="false">
      <c r="B8" s="8" t="s">
        <v>6</v>
      </c>
      <c r="C8" s="9"/>
      <c r="E8" s="8" t="s">
        <v>7</v>
      </c>
      <c r="F8" s="10"/>
    </row>
    <row r="9" customFormat="false" ht="15" hidden="false" customHeight="true" outlineLevel="0" collapsed="false">
      <c r="B9" s="8" t="s">
        <v>8</v>
      </c>
      <c r="C9" s="10"/>
      <c r="E9" s="8" t="s">
        <v>9</v>
      </c>
      <c r="F9" s="10"/>
    </row>
    <row r="10" customFormat="false" ht="15" hidden="false" customHeight="true" outlineLevel="0" collapsed="false">
      <c r="B10" s="8" t="s">
        <v>10</v>
      </c>
      <c r="C10" s="11" t="str">
        <f aca="false">IF(AND(ISNUMBER(C9),ISNUMBER(F11)),C9+F11,"")</f>
        <v/>
      </c>
      <c r="E10" s="8" t="s">
        <v>11</v>
      </c>
      <c r="F10" s="12" t="str">
        <f aca="false">IF(AND(ISNUMBER(F8),ISNUMBER(F9)),MAX(1,F9-F8+1),"")</f>
        <v/>
      </c>
    </row>
    <row r="11" customFormat="false" ht="15" hidden="false" customHeight="true" outlineLevel="0" collapsed="false">
      <c r="B11" s="8" t="s">
        <v>12</v>
      </c>
      <c r="C11" s="9"/>
      <c r="E11" s="8" t="s">
        <v>13</v>
      </c>
      <c r="F11" s="13" t="n">
        <v>30</v>
      </c>
    </row>
    <row r="13" customFormat="false" ht="19.5" hidden="false" customHeight="true" outlineLevel="0" collapsed="false">
      <c r="B13" s="7" t="s">
        <v>14</v>
      </c>
      <c r="C13" s="7"/>
      <c r="D13" s="7"/>
      <c r="E13" s="7"/>
      <c r="F13" s="7"/>
    </row>
    <row r="14" customFormat="false" ht="15" hidden="false" customHeight="true" outlineLevel="0" collapsed="false">
      <c r="B14" s="8" t="s">
        <v>15</v>
      </c>
      <c r="C14" s="9"/>
      <c r="E14" s="8" t="s">
        <v>16</v>
      </c>
      <c r="F14" s="9"/>
    </row>
    <row r="15" customFormat="false" ht="15" hidden="false" customHeight="true" outlineLevel="0" collapsed="false">
      <c r="B15" s="8" t="s">
        <v>17</v>
      </c>
      <c r="C15" s="9"/>
      <c r="E15" s="8" t="s">
        <v>18</v>
      </c>
      <c r="F15" s="9"/>
    </row>
    <row r="16" customFormat="false" ht="15" hidden="false" customHeight="true" outlineLevel="0" collapsed="false">
      <c r="B16" s="8" t="s">
        <v>19</v>
      </c>
      <c r="C16" s="9"/>
    </row>
    <row r="18" customFormat="false" ht="19.5" hidden="false" customHeight="true" outlineLevel="0" collapsed="false">
      <c r="B18" s="7" t="s">
        <v>20</v>
      </c>
      <c r="C18" s="7"/>
      <c r="D18" s="7"/>
      <c r="E18" s="7"/>
      <c r="F18" s="7"/>
    </row>
    <row r="19" customFormat="false" ht="15" hidden="false" customHeight="true" outlineLevel="0" collapsed="false">
      <c r="B19" s="8" t="s">
        <v>21</v>
      </c>
      <c r="C19" s="14" t="n">
        <v>0</v>
      </c>
      <c r="E19" s="8" t="s">
        <v>22</v>
      </c>
      <c r="F19" s="15" t="n">
        <f aca="false">Config_Subtotal</f>
        <v>0</v>
      </c>
    </row>
    <row r="20" customFormat="false" ht="15" hidden="false" customHeight="true" outlineLevel="0" collapsed="false">
      <c r="B20" s="8" t="s">
        <v>23</v>
      </c>
      <c r="C20" s="16" t="n">
        <v>0</v>
      </c>
      <c r="E20" s="8" t="s">
        <v>24</v>
      </c>
      <c r="F20" s="15" t="n">
        <f aca="false">Acc_Subtotal</f>
        <v>0</v>
      </c>
    </row>
    <row r="21" customFormat="false" ht="15" hidden="false" customHeight="true" outlineLevel="0" collapsed="false">
      <c r="B21" s="8" t="s">
        <v>25</v>
      </c>
      <c r="C21" s="16" t="n">
        <v>0</v>
      </c>
      <c r="E21" s="8" t="s">
        <v>26</v>
      </c>
      <c r="F21" s="15" t="n">
        <f aca="false">Config_Subtotal+Acc_Subtotal</f>
        <v>0</v>
      </c>
    </row>
    <row r="22" customFormat="false" ht="15" hidden="false" customHeight="true" outlineLevel="0" collapsed="false">
      <c r="E22" s="8" t="s">
        <v>27</v>
      </c>
      <c r="F22" s="17" t="n">
        <f aca="false">F21+ROUND(F21*Tax_Rate,2)+Freight+Misc_Charge</f>
        <v>0</v>
      </c>
    </row>
    <row r="24" customFormat="false" ht="19.5" hidden="false" customHeight="true" outlineLevel="0" collapsed="false">
      <c r="B24" s="7" t="s">
        <v>28</v>
      </c>
      <c r="C24" s="7"/>
      <c r="D24" s="7"/>
      <c r="E24" s="7"/>
      <c r="F24" s="7"/>
    </row>
    <row r="25" customFormat="false" ht="19.5" hidden="false" customHeight="true" outlineLevel="0" collapsed="false">
      <c r="B25" s="8" t="s">
        <v>29</v>
      </c>
      <c r="C25" s="18"/>
      <c r="D25" s="18"/>
      <c r="E25" s="18"/>
      <c r="F25" s="18"/>
    </row>
    <row r="26" customFormat="false" ht="19.5" hidden="false" customHeight="true" outlineLevel="0" collapsed="false">
      <c r="C26" s="18"/>
      <c r="D26" s="18"/>
      <c r="E26" s="18"/>
      <c r="F26" s="18"/>
    </row>
    <row r="27" customFormat="false" ht="19.5" hidden="false" customHeight="true" outlineLevel="0" collapsed="false">
      <c r="B27" s="8" t="s">
        <v>30</v>
      </c>
      <c r="C27" s="18"/>
      <c r="D27" s="18"/>
      <c r="E27" s="18"/>
      <c r="F27" s="18"/>
    </row>
    <row r="28" customFormat="false" ht="19.5" hidden="false" customHeight="true" outlineLevel="0" collapsed="false">
      <c r="C28" s="18"/>
      <c r="D28" s="18"/>
      <c r="E28" s="18"/>
      <c r="F28" s="18"/>
    </row>
  </sheetData>
  <mergeCells count="8">
    <mergeCell ref="B2:F2"/>
    <mergeCell ref="B3:F3"/>
    <mergeCell ref="B7:F7"/>
    <mergeCell ref="B13:F13"/>
    <mergeCell ref="B18:F18"/>
    <mergeCell ref="B24:F24"/>
    <mergeCell ref="C25:F26"/>
    <mergeCell ref="C27:F28"/>
  </mergeCells>
  <conditionalFormatting sqref="F9">
    <cfRule type="expression" priority="2" aboveAverage="0" equalAverage="0" bottom="0" percent="0" rank="0" text="" dxfId="0">
      <formula>AND(ISNUMBER($F$8),ISNUMBER($F$9),$F$9&lt;$F$8)</formula>
    </cfRule>
  </conditionalFormatting>
  <dataValidations count="2">
    <dataValidation allowBlank="true" error="Tax rate 0%-100%" errorStyle="stop" errorTitle="Invalid" operator="between" showDropDown="false" showErrorMessage="false" showInputMessage="false" sqref="C19" type="decimal">
      <formula1>0</formula1>
      <formula2>1</formula2>
    </dataValidation>
    <dataValidation allowBlank="true" errorStyle="stop" operator="between" showDropDown="false" showErrorMessage="false" showInputMessage="false" sqref="F11" type="whole">
      <formula1>0</formula1>
      <formula2>365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&amp;C&amp;8 Rental Quoting Tool — Start Quote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2707A"/>
    <pageSetUpPr fitToPage="true"/>
  </sheetPr>
  <dimension ref="B2:X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"/>
    <col collapsed="false" customWidth="true" hidden="false" outlineLevel="0" max="3" min="3" style="1" width="16"/>
    <col collapsed="false" customWidth="true" hidden="false" outlineLevel="0" max="4" min="4" style="1" width="13"/>
    <col collapsed="false" customWidth="true" hidden="false" outlineLevel="0" max="5" min="5" style="1" width="11"/>
    <col collapsed="false" customWidth="true" hidden="false" outlineLevel="0" max="7" min="6" style="1" width="14"/>
    <col collapsed="false" customWidth="true" hidden="false" outlineLevel="0" max="9" min="8" style="1" width="6"/>
    <col collapsed="false" customWidth="true" hidden="false" outlineLevel="0" max="10" min="10" style="1" width="8"/>
    <col collapsed="false" customWidth="true" hidden="false" outlineLevel="0" max="11" min="11" style="1" width="11"/>
    <col collapsed="false" customWidth="true" hidden="false" outlineLevel="0" max="14" min="12" style="1" width="13"/>
    <col collapsed="false" customWidth="true" hidden="false" outlineLevel="0" max="15" min="15" style="1" width="22"/>
    <col collapsed="false" customWidth="true" hidden="false" outlineLevel="0" max="16" min="16" style="1" width="40"/>
    <col collapsed="false" customWidth="true" hidden="false" outlineLevel="0" max="17" min="17" style="1" width="22"/>
    <col collapsed="false" customWidth="true" hidden="false" outlineLevel="0" max="18" min="18" style="1" width="24"/>
    <col collapsed="false" customWidth="true" hidden="false" outlineLevel="0" max="19" min="19" style="1" width="11"/>
    <col collapsed="false" customWidth="true" hidden="true" outlineLevel="0" max="24" min="20" style="1" width="5"/>
  </cols>
  <sheetData>
    <row r="2" customFormat="false" ht="30" hidden="false" customHeight="true" outlineLevel="0" collapsed="false">
      <c r="B2" s="2" t="s">
        <v>31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25.5" hidden="false" customHeight="true" outlineLevel="0" collapsed="false">
      <c r="B3" s="19" t="s">
        <v>32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5" customFormat="false" ht="15" hidden="false" customHeight="true" outlineLevel="0" collapsed="false">
      <c r="B5" s="4" t="s">
        <v>33</v>
      </c>
      <c r="C5" s="20" t="s">
        <v>3</v>
      </c>
      <c r="D5" s="21" t="s">
        <v>4</v>
      </c>
    </row>
    <row r="7" customFormat="false" ht="30" hidden="false" customHeight="true" outlineLevel="0" collapsed="false">
      <c r="B7" s="22" t="s">
        <v>34</v>
      </c>
      <c r="C7" s="22" t="s">
        <v>35</v>
      </c>
      <c r="D7" s="22" t="s">
        <v>36</v>
      </c>
      <c r="E7" s="22" t="s">
        <v>37</v>
      </c>
      <c r="F7" s="22" t="s">
        <v>38</v>
      </c>
      <c r="G7" s="22" t="s">
        <v>39</v>
      </c>
      <c r="H7" s="22" t="s">
        <v>40</v>
      </c>
      <c r="I7" s="22" t="s">
        <v>41</v>
      </c>
      <c r="J7" s="22" t="s">
        <v>42</v>
      </c>
      <c r="K7" s="22" t="s">
        <v>43</v>
      </c>
      <c r="L7" s="22" t="s">
        <v>44</v>
      </c>
      <c r="M7" s="22" t="s">
        <v>45</v>
      </c>
      <c r="N7" s="22" t="s">
        <v>46</v>
      </c>
      <c r="O7" s="22" t="s">
        <v>47</v>
      </c>
      <c r="P7" s="22" t="s">
        <v>48</v>
      </c>
      <c r="Q7" s="22" t="s">
        <v>49</v>
      </c>
      <c r="R7" s="22" t="inlineStr">
        <is>
          <t xml:space="preserve">EXO 8-Gas Expansion Module</t>
        </is>
      </c>
      <c r="S7" s="22" t="inlineStr">
        <is>
          <t xml:space="preserve">Module Daily</t>
        </is>
      </c>
    </row>
    <row r="8" customFormat="false" ht="15" hidden="false" customHeight="true" outlineLevel="0" collapsed="false">
      <c r="B8" s="23" t="n">
        <v>1</v>
      </c>
      <c r="C8" s="24"/>
      <c r="D8" s="24" t="s">
        <v>50</v>
      </c>
      <c r="E8" s="24" t="s">
        <v>37</v>
      </c>
      <c r="F8" s="24" t="s">
        <v>51</v>
      </c>
      <c r="G8" s="24" t="s">
        <v>51</v>
      </c>
      <c r="H8" s="25" t="n">
        <v>1</v>
      </c>
      <c r="I8" s="25" t="n">
        <f aca="false">IF(ISNUMBER(Default_Days),Default_Days,1)</f>
        <v>1</v>
      </c>
      <c r="J8" s="26" t="n">
        <v>0</v>
      </c>
      <c r="K8" s="27" t="str">
        <f aca="false">IF($C8="","",IFERROR(INDEX(DB_Rate,MATCH(IFERROR(INDEX(DeviceMap,MATCH($C8,INDEX(DeviceMap,0,1),0),2),""),DB_Key,0)),"?"))</f>
        <v/>
      </c>
      <c r="L8" s="27" t="str">
        <f aca="false">IF($C8="","",IF(OR($D8="",$D8="No Sensor"),0,IF(IFERROR(INDEX(SensorTier,MATCH($D8,SensorName,0)),"Standard")="Standard",0,IFERROR(INDEX(DB_Rate,MATCH(IFERROR(INDEX(TierKeys,MATCH(IFERROR(INDEX(SensorTier,MATCH($D8,SensorName,0)),"Standard"),INDEX(TierKeys,0,1),0),2),""),DB_Key,0)),0)))+IF(OR($E8="",$E8="No Sensor"),0,IF(IFERROR(INDEX(SensorTier,MATCH($E8,SensorName,0)),"Standard")="Standard",0,IFERROR(INDEX(DB_Rate,MATCH(IFERROR(INDEX(TierKeys,MATCH(IFERROR(INDEX(SensorTier,MATCH($E8,SensorName,0)),"Standard"),INDEX(TierKeys,0,1),0),2),""),DB_Key,0)),0)))+IF(OR($F8="",$F8="No Sensor"),0,IF(IFERROR(INDEX(SensorTier,MATCH($F8,SensorName,0)),"Standard")="Standard",0,IFERROR(INDEX(DB_Rate,MATCH(IFERROR(INDEX(TierKeys,MATCH(IFERROR(INDEX(SensorTier,MATCH($F8,SensorName,0)),"Standard"),INDEX(TierKeys,0,1),0),2),""),DB_Key,0)),0)))+IF(OR($G8="",$G8="No Sensor"),0,IF(IFERROR(INDEX(SensorTier,MATCH($G8,SensorName,0)),"Standard")="Standard",0,IFERROR(INDEX(DB_Rate,MATCH(IFERROR(INDEX(TierKeys,MATCH(IFERROR(INDEX(SensorTier,MATCH($G8,SensorName,0)),"Standard"),INDEX(TierKeys,0,1),0),2),""),DB_Key,0)),0))))</f>
        <v/>
      </c>
      <c r="M8" s="28">
        <f aca="false">IF($C8="","",IF(ISNUMBER($K8),$K8+$L8+$S8,""))</f>
      </c>
      <c r="N8" s="29" t="n">
        <f aca="false">IF(AND($C8&lt;&gt;"",ISNUMBER($M8)),$H8*$I8*$M8*(1-$J8),0)</f>
        <v>0</v>
      </c>
      <c r="O8" s="30">
        <f aca="false">IF($C8="","",SUBSTITUTE(IFERROR(INDEX(DeviceMap,MATCH($C8,INDEX(DeviceMap,0,1),0),3),""),"~",IF(OR($R8="",$R8="No Module"),"X",IFERROR(INDEX(GEMMap,MATCH($R8,INDEX(GEMMap,0,1),0),2),"X")))&amp;"-"&amp;$X8&amp;"-1D")</f>
      </c>
      <c r="P8" s="31">
        <f aca="false">IF($C8="","",$C8&amp;", with ("&amp;TEXTJOIN("/",TRUE,IF($D8="No Sensor","",$D8),IF($E8="No Sensor","",$E8),IF($F8="No Sensor","",$F8),IF($G8="No Sensor","",$G8))&amp;")"&amp;IF(OR($R8="",$R8="No Module"),""," + 8-gas expansion module: "&amp;$R8))</f>
      </c>
      <c r="Q8" s="32">
        <f aca="false">IF($C8="","",IF(AND($R8&lt;&gt;"",$R8&lt;&gt;"No Module",ISERROR(SEARCH("EXO",$C8))),"Module needs EXO device",IF(OR($K8="?",NOT(ISNUMBER($M8))),"Unknown rate",IF(AND($F8&lt;&gt;"No Sensor",$F8=$G8),"Duplicate sensors",IF(AND($D8="No Sensor",$E8="No Sensor",$F8="No Sensor",$G8="No Sensor"),"Review: no sensors","Complete")))))</f>
      </c>
      <c r="R8" s="24" t="inlineStr">
        <is>
          <t xml:space="preserve">No Module</t>
        </is>
      </c>
      <c r="S8" s="27">
        <f aca="false">IF($C8="","",IF(OR($R8="",$R8="No Module"),0,IFERROR(INDEX(DB_Rate,MATCH(INDEX(GEMMap,MATCH($R8,INDEX(GEMMap,0,1),0),3),DB_Key,0)),0)))</f>
      </c>
      <c r="T8">
        <f aca="false">CODE(IFERROR(INDEX(SensorCode,MATCH($D8,SensorName,0)),"X"))</f>
      </c>
      <c r="U8">
        <f aca="false">CODE(IFERROR(INDEX(SensorCode,MATCH($E8,SensorName,0)),"X"))</f>
      </c>
      <c r="V8">
        <f aca="false">CODE(IFERROR(INDEX(SensorCode,MATCH($F8,SensorName,0)),"X"))</f>
      </c>
      <c r="W8">
        <f aca="false">CODE(IFERROR(INDEX(SensorCode,MATCH($G8,SensorName,0)),"X"))</f>
      </c>
      <c r="X8">
        <f aca="false">CHAR(SMALL($T8:$W8,1))&amp;CHAR(SMALL($T8:$W8,2))&amp;CHAR(SMALL($T8:$W8,3))&amp;CHAR(SMALL($T8:$W8,4))</f>
      </c>
    </row>
    <row r="9" customFormat="false" ht="15" hidden="false" customHeight="true" outlineLevel="0" collapsed="false">
      <c r="B9" s="23" t="n">
        <v>2</v>
      </c>
      <c r="C9" s="24"/>
      <c r="D9" s="24" t="s">
        <v>50</v>
      </c>
      <c r="E9" s="24" t="s">
        <v>37</v>
      </c>
      <c r="F9" s="24" t="s">
        <v>51</v>
      </c>
      <c r="G9" s="24" t="s">
        <v>51</v>
      </c>
      <c r="H9" s="25" t="n">
        <v>1</v>
      </c>
      <c r="I9" s="25" t="n">
        <f aca="false">IF(ISNUMBER(Default_Days),Default_Days,1)</f>
        <v>1</v>
      </c>
      <c r="J9" s="26" t="n">
        <v>0</v>
      </c>
      <c r="K9" s="27" t="str">
        <f aca="false">IF($C9="","",IFERROR(INDEX(DB_Rate,MATCH(IFERROR(INDEX(DeviceMap,MATCH($C9,INDEX(DeviceMap,0,1),0),2),""),DB_Key,0)),"?"))</f>
        <v/>
      </c>
      <c r="L9" s="27" t="str">
        <f aca="false">IF($C9="","",IF(OR($D9="",$D9="No Sensor"),0,IF(IFERROR(INDEX(SensorTier,MATCH($D9,SensorName,0)),"Standard")="Standard",0,IFERROR(INDEX(DB_Rate,MATCH(IFERROR(INDEX(TierKeys,MATCH(IFERROR(INDEX(SensorTier,MATCH($D9,SensorName,0)),"Standard"),INDEX(TierKeys,0,1),0),2),""),DB_Key,0)),0)))+IF(OR($E9="",$E9="No Sensor"),0,IF(IFERROR(INDEX(SensorTier,MATCH($E9,SensorName,0)),"Standard")="Standard",0,IFERROR(INDEX(DB_Rate,MATCH(IFERROR(INDEX(TierKeys,MATCH(IFERROR(INDEX(SensorTier,MATCH($E9,SensorName,0)),"Standard"),INDEX(TierKeys,0,1),0),2),""),DB_Key,0)),0)))+IF(OR($F9="",$F9="No Sensor"),0,IF(IFERROR(INDEX(SensorTier,MATCH($F9,SensorName,0)),"Standard")="Standard",0,IFERROR(INDEX(DB_Rate,MATCH(IFERROR(INDEX(TierKeys,MATCH(IFERROR(INDEX(SensorTier,MATCH($F9,SensorName,0)),"Standard"),INDEX(TierKeys,0,1),0),2),""),DB_Key,0)),0)))+IF(OR($G9="",$G9="No Sensor"),0,IF(IFERROR(INDEX(SensorTier,MATCH($G9,SensorName,0)),"Standard")="Standard",0,IFERROR(INDEX(DB_Rate,MATCH(IFERROR(INDEX(TierKeys,MATCH(IFERROR(INDEX(SensorTier,MATCH($G9,SensorName,0)),"Standard"),INDEX(TierKeys,0,1),0),2),""),DB_Key,0)),0))))</f>
        <v/>
      </c>
      <c r="M9" s="28">
        <f aca="false">IF($C9="","",IF(ISNUMBER($K9),$K9+$L9+$S9,""))</f>
      </c>
      <c r="N9" s="29" t="n">
        <f aca="false">IF(AND($C9&lt;&gt;"",ISNUMBER($M9)),$H9*$I9*$M9*(1-$J9),0)</f>
        <v>0</v>
      </c>
      <c r="O9" s="30">
        <f aca="false">IF($C9="","",SUBSTITUTE(IFERROR(INDEX(DeviceMap,MATCH($C9,INDEX(DeviceMap,0,1),0),3),""),"~",IF(OR($R9="",$R9="No Module"),"X",IFERROR(INDEX(GEMMap,MATCH($R9,INDEX(GEMMap,0,1),0),2),"X")))&amp;"-"&amp;$X9&amp;"-1D")</f>
      </c>
      <c r="P9" s="31">
        <f aca="false">IF($C9="","",$C9&amp;", with ("&amp;TEXTJOIN("/",TRUE,IF($D9="No Sensor","",$D9),IF($E9="No Sensor","",$E9),IF($F9="No Sensor","",$F9),IF($G9="No Sensor","",$G9))&amp;")"&amp;IF(OR($R9="",$R9="No Module"),""," + 8-gas expansion module: "&amp;$R9))</f>
      </c>
      <c r="Q9" s="32">
        <f aca="false">IF($C9="","",IF(AND($R9&lt;&gt;"",$R9&lt;&gt;"No Module",ISERROR(SEARCH("EXO",$C9))),"Module needs EXO device",IF(OR($K9="?",NOT(ISNUMBER($M9))),"Unknown rate",IF(AND($F9&lt;&gt;"No Sensor",$F9=$G9),"Duplicate sensors",IF(AND($D9="No Sensor",$E9="No Sensor",$F9="No Sensor",$G9="No Sensor"),"Review: no sensors","Complete")))))</f>
      </c>
      <c r="R9" s="24" t="inlineStr">
        <is>
          <t xml:space="preserve">No Module</t>
        </is>
      </c>
      <c r="S9" s="27">
        <f aca="false">IF($C9="","",IF(OR($R9="",$R9="No Module"),0,IFERROR(INDEX(DB_Rate,MATCH(INDEX(GEMMap,MATCH($R9,INDEX(GEMMap,0,1),0),3),DB_Key,0)),0)))</f>
      </c>
      <c r="T9">
        <f aca="false">CODE(IFERROR(INDEX(SensorCode,MATCH($D9,SensorName,0)),"X"))</f>
      </c>
      <c r="U9">
        <f aca="false">CODE(IFERROR(INDEX(SensorCode,MATCH($E9,SensorName,0)),"X"))</f>
      </c>
      <c r="V9">
        <f aca="false">CODE(IFERROR(INDEX(SensorCode,MATCH($F9,SensorName,0)),"X"))</f>
      </c>
      <c r="W9">
        <f aca="false">CODE(IFERROR(INDEX(SensorCode,MATCH($G9,SensorName,0)),"X"))</f>
      </c>
      <c r="X9">
        <f aca="false">CHAR(SMALL($T9:$W9,1))&amp;CHAR(SMALL($T9:$W9,2))&amp;CHAR(SMALL($T9:$W9,3))&amp;CHAR(SMALL($T9:$W9,4))</f>
      </c>
    </row>
    <row r="10" customFormat="false" ht="20.25" hidden="false" customHeight="true" outlineLevel="0" collapsed="false">
      <c r="B10" s="23" t="n">
        <v>3</v>
      </c>
      <c r="C10" s="24"/>
      <c r="D10" s="24" t="s">
        <v>50</v>
      </c>
      <c r="E10" s="24" t="s">
        <v>37</v>
      </c>
      <c r="F10" s="24" t="s">
        <v>51</v>
      </c>
      <c r="G10" s="24" t="s">
        <v>51</v>
      </c>
      <c r="H10" s="25" t="n">
        <v>1</v>
      </c>
      <c r="I10" s="25" t="n">
        <f aca="false">IF(ISNUMBER(Default_Days),Default_Days,1)</f>
        <v>1</v>
      </c>
      <c r="J10" s="26" t="n">
        <v>0</v>
      </c>
      <c r="K10" s="27" t="str">
        <f aca="false">IF($C10="","",IFERROR(INDEX(DB_Rate,MATCH(IFERROR(INDEX(DeviceMap,MATCH($C10,INDEX(DeviceMap,0,1),0),2),""),DB_Key,0)),"?"))</f>
        <v/>
      </c>
      <c r="L10" s="27" t="str">
        <f aca="false">IF($C10="","",IF(OR($D10="",$D10="No Sensor"),0,IF(IFERROR(INDEX(SensorTier,MATCH($D10,SensorName,0)),"Standard")="Standard",0,IFERROR(INDEX(DB_Rate,MATCH(IFERROR(INDEX(TierKeys,MATCH(IFERROR(INDEX(SensorTier,MATCH($D10,SensorName,0)),"Standard"),INDEX(TierKeys,0,1),0),2),""),DB_Key,0)),0)))+IF(OR($E10="",$E10="No Sensor"),0,IF(IFERROR(INDEX(SensorTier,MATCH($E10,SensorName,0)),"Standard")="Standard",0,IFERROR(INDEX(DB_Rate,MATCH(IFERROR(INDEX(TierKeys,MATCH(IFERROR(INDEX(SensorTier,MATCH($E10,SensorName,0)),"Standard"),INDEX(TierKeys,0,1),0),2),""),DB_Key,0)),0)))+IF(OR($F10="",$F10="No Sensor"),0,IF(IFERROR(INDEX(SensorTier,MATCH($F10,SensorName,0)),"Standard")="Standard",0,IFERROR(INDEX(DB_Rate,MATCH(IFERROR(INDEX(TierKeys,MATCH(IFERROR(INDEX(SensorTier,MATCH($F10,SensorName,0)),"Standard"),INDEX(TierKeys,0,1),0),2),""),DB_Key,0)),0)))+IF(OR($G10="",$G10="No Sensor"),0,IF(IFERROR(INDEX(SensorTier,MATCH($G10,SensorName,0)),"Standard")="Standard",0,IFERROR(INDEX(DB_Rate,MATCH(IFERROR(INDEX(TierKeys,MATCH(IFERROR(INDEX(SensorTier,MATCH($G10,SensorName,0)),"Standard"),INDEX(TierKeys,0,1),0),2),""),DB_Key,0)),0))))</f>
        <v/>
      </c>
      <c r="M10" s="28">
        <f aca="false">IF($C10="","",IF(ISNUMBER($K10),$K10+$L10+$S10,""))</f>
      </c>
      <c r="N10" s="29" t="n">
        <f aca="false">IF(AND($C10&lt;&gt;"",ISNUMBER($M10)),$H10*$I10*$M10*(1-$J10),0)</f>
        <v>0</v>
      </c>
      <c r="O10" s="30">
        <f aca="false">IF($C10="","",SUBSTITUTE(IFERROR(INDEX(DeviceMap,MATCH($C10,INDEX(DeviceMap,0,1),0),3),""),"~",IF(OR($R10="",$R10="No Module"),"X",IFERROR(INDEX(GEMMap,MATCH($R10,INDEX(GEMMap,0,1),0),2),"X")))&amp;"-"&amp;$X10&amp;"-1D")</f>
      </c>
      <c r="P10" s="31">
        <f aca="false">IF($C10="","",$C10&amp;", with ("&amp;TEXTJOIN("/",TRUE,IF($D10="No Sensor","",$D10),IF($E10="No Sensor","",$E10),IF($F10="No Sensor","",$F10),IF($G10="No Sensor","",$G10))&amp;")"&amp;IF(OR($R10="",$R10="No Module"),""," + 8-gas expansion module: "&amp;$R10))</f>
      </c>
      <c r="Q10" s="32">
        <f aca="false">IF($C10="","",IF(AND($R10&lt;&gt;"",$R10&lt;&gt;"No Module",ISERROR(SEARCH("EXO",$C10))),"Module needs EXO device",IF(OR($K10="?",NOT(ISNUMBER($M10))),"Unknown rate",IF(AND($F10&lt;&gt;"No Sensor",$F10=$G10),"Duplicate sensors",IF(AND($D10="No Sensor",$E10="No Sensor",$F10="No Sensor",$G10="No Sensor"),"Review: no sensors","Complete")))))</f>
      </c>
      <c r="R10" s="24" t="inlineStr">
        <is>
          <t xml:space="preserve">No Module</t>
        </is>
      </c>
      <c r="S10" s="27">
        <f aca="false">IF($C10="","",IF(OR($R10="",$R10="No Module"),0,IFERROR(INDEX(DB_Rate,MATCH(INDEX(GEMMap,MATCH($R10,INDEX(GEMMap,0,1),0),3),DB_Key,0)),0)))</f>
      </c>
      <c r="T10">
        <f aca="false">CODE(IFERROR(INDEX(SensorCode,MATCH($D10,SensorName,0)),"X"))</f>
      </c>
      <c r="U10">
        <f aca="false">CODE(IFERROR(INDEX(SensorCode,MATCH($E10,SensorName,0)),"X"))</f>
      </c>
      <c r="V10">
        <f aca="false">CODE(IFERROR(INDEX(SensorCode,MATCH($F10,SensorName,0)),"X"))</f>
      </c>
      <c r="W10">
        <f aca="false">CODE(IFERROR(INDEX(SensorCode,MATCH($G10,SensorName,0)),"X"))</f>
      </c>
      <c r="X10">
        <f aca="false">CHAR(SMALL($T10:$W10,1))&amp;CHAR(SMALL($T10:$W10,2))&amp;CHAR(SMALL($T10:$W10,3))&amp;CHAR(SMALL($T10:$W10,4))</f>
      </c>
    </row>
    <row r="11" customFormat="false" ht="15" hidden="false" customHeight="true" outlineLevel="0" collapsed="false">
      <c r="B11" s="23" t="n">
        <v>4</v>
      </c>
      <c r="C11" s="24"/>
      <c r="D11" s="24" t="s">
        <v>50</v>
      </c>
      <c r="E11" s="24" t="s">
        <v>37</v>
      </c>
      <c r="F11" s="24" t="s">
        <v>51</v>
      </c>
      <c r="G11" s="24" t="s">
        <v>51</v>
      </c>
      <c r="H11" s="25" t="n">
        <v>1</v>
      </c>
      <c r="I11" s="25" t="n">
        <f aca="false">IF(ISNUMBER(Default_Days),Default_Days,1)</f>
        <v>1</v>
      </c>
      <c r="J11" s="26" t="n">
        <v>0</v>
      </c>
      <c r="K11" s="27" t="str">
        <f aca="false">IF($C11="","",IFERROR(INDEX(DB_Rate,MATCH(IFERROR(INDEX(DeviceMap,MATCH($C11,INDEX(DeviceMap,0,1),0),2),""),DB_Key,0)),"?"))</f>
        <v/>
      </c>
      <c r="L11" s="27" t="str">
        <f aca="false">IF($C11="","",IF(OR($D11="",$D11="No Sensor"),0,IF(IFERROR(INDEX(SensorTier,MATCH($D11,SensorName,0)),"Standard")="Standard",0,IFERROR(INDEX(DB_Rate,MATCH(IFERROR(INDEX(TierKeys,MATCH(IFERROR(INDEX(SensorTier,MATCH($D11,SensorName,0)),"Standard"),INDEX(TierKeys,0,1),0),2),""),DB_Key,0)),0)))+IF(OR($E11="",$E11="No Sensor"),0,IF(IFERROR(INDEX(SensorTier,MATCH($E11,SensorName,0)),"Standard")="Standard",0,IFERROR(INDEX(DB_Rate,MATCH(IFERROR(INDEX(TierKeys,MATCH(IFERROR(INDEX(SensorTier,MATCH($E11,SensorName,0)),"Standard"),INDEX(TierKeys,0,1),0),2),""),DB_Key,0)),0)))+IF(OR($F11="",$F11="No Sensor"),0,IF(IFERROR(INDEX(SensorTier,MATCH($F11,SensorName,0)),"Standard")="Standard",0,IFERROR(INDEX(DB_Rate,MATCH(IFERROR(INDEX(TierKeys,MATCH(IFERROR(INDEX(SensorTier,MATCH($F11,SensorName,0)),"Standard"),INDEX(TierKeys,0,1),0),2),""),DB_Key,0)),0)))+IF(OR($G11="",$G11="No Sensor"),0,IF(IFERROR(INDEX(SensorTier,MATCH($G11,SensorName,0)),"Standard")="Standard",0,IFERROR(INDEX(DB_Rate,MATCH(IFERROR(INDEX(TierKeys,MATCH(IFERROR(INDEX(SensorTier,MATCH($G11,SensorName,0)),"Standard"),INDEX(TierKeys,0,1),0),2),""),DB_Key,0)),0))))</f>
        <v/>
      </c>
      <c r="M11" s="28">
        <f aca="false">IF($C11="","",IF(ISNUMBER($K11),$K11+$L11+$S11,""))</f>
      </c>
      <c r="N11" s="29" t="n">
        <f aca="false">IF(AND($C11&lt;&gt;"",ISNUMBER($M11)),$H11*$I11*$M11*(1-$J11),0)</f>
        <v>0</v>
      </c>
      <c r="O11" s="30">
        <f aca="false">IF($C11="","",SUBSTITUTE(IFERROR(INDEX(DeviceMap,MATCH($C11,INDEX(DeviceMap,0,1),0),3),""),"~",IF(OR($R11="",$R11="No Module"),"X",IFERROR(INDEX(GEMMap,MATCH($R11,INDEX(GEMMap,0,1),0),2),"X")))&amp;"-"&amp;$X11&amp;"-1D")</f>
      </c>
      <c r="P11" s="31">
        <f aca="false">IF($C11="","",$C11&amp;", with ("&amp;TEXTJOIN("/",TRUE,IF($D11="No Sensor","",$D11),IF($E11="No Sensor","",$E11),IF($F11="No Sensor","",$F11),IF($G11="No Sensor","",$G11))&amp;")"&amp;IF(OR($R11="",$R11="No Module"),""," + 8-gas expansion module: "&amp;$R11))</f>
      </c>
      <c r="Q11" s="32">
        <f aca="false">IF($C11="","",IF(AND($R11&lt;&gt;"",$R11&lt;&gt;"No Module",ISERROR(SEARCH("EXO",$C11))),"Module needs EXO device",IF(OR($K11="?",NOT(ISNUMBER($M11))),"Unknown rate",IF(AND($F11&lt;&gt;"No Sensor",$F11=$G11),"Duplicate sensors",IF(AND($D11="No Sensor",$E11="No Sensor",$F11="No Sensor",$G11="No Sensor"),"Review: no sensors","Complete")))))</f>
      </c>
      <c r="R11" s="24" t="inlineStr">
        <is>
          <t xml:space="preserve">No Module</t>
        </is>
      </c>
      <c r="S11" s="27">
        <f aca="false">IF($C11="","",IF(OR($R11="",$R11="No Module"),0,IFERROR(INDEX(DB_Rate,MATCH(INDEX(GEMMap,MATCH($R11,INDEX(GEMMap,0,1),0),3),DB_Key,0)),0)))</f>
      </c>
      <c r="T11">
        <f aca="false">CODE(IFERROR(INDEX(SensorCode,MATCH($D11,SensorName,0)),"X"))</f>
      </c>
      <c r="U11">
        <f aca="false">CODE(IFERROR(INDEX(SensorCode,MATCH($E11,SensorName,0)),"X"))</f>
      </c>
      <c r="V11">
        <f aca="false">CODE(IFERROR(INDEX(SensorCode,MATCH($F11,SensorName,0)),"X"))</f>
      </c>
      <c r="W11">
        <f aca="false">CODE(IFERROR(INDEX(SensorCode,MATCH($G11,SensorName,0)),"X"))</f>
      </c>
      <c r="X11">
        <f aca="false">CHAR(SMALL($T11:$W11,1))&amp;CHAR(SMALL($T11:$W11,2))&amp;CHAR(SMALL($T11:$W11,3))&amp;CHAR(SMALL($T11:$W11,4))</f>
      </c>
    </row>
    <row r="12" customFormat="false" ht="15" hidden="false" customHeight="true" outlineLevel="0" collapsed="false">
      <c r="B12" s="23" t="n">
        <v>5</v>
      </c>
      <c r="C12" s="24"/>
      <c r="D12" s="24" t="s">
        <v>50</v>
      </c>
      <c r="E12" s="24" t="s">
        <v>37</v>
      </c>
      <c r="F12" s="24" t="s">
        <v>51</v>
      </c>
      <c r="G12" s="24" t="s">
        <v>51</v>
      </c>
      <c r="H12" s="25" t="n">
        <v>1</v>
      </c>
      <c r="I12" s="25" t="n">
        <f aca="false">IF(ISNUMBER(Default_Days),Default_Days,1)</f>
        <v>1</v>
      </c>
      <c r="J12" s="26" t="n">
        <v>0</v>
      </c>
      <c r="K12" s="27" t="str">
        <f aca="false">IF($C12="","",IFERROR(INDEX(DB_Rate,MATCH(IFERROR(INDEX(DeviceMap,MATCH($C12,INDEX(DeviceMap,0,1),0),2),""),DB_Key,0)),"?"))</f>
        <v/>
      </c>
      <c r="L12" s="27" t="str">
        <f aca="false">IF($C12="","",IF(OR($D12="",$D12="No Sensor"),0,IF(IFERROR(INDEX(SensorTier,MATCH($D12,SensorName,0)),"Standard")="Standard",0,IFERROR(INDEX(DB_Rate,MATCH(IFERROR(INDEX(TierKeys,MATCH(IFERROR(INDEX(SensorTier,MATCH($D12,SensorName,0)),"Standard"),INDEX(TierKeys,0,1),0),2),""),DB_Key,0)),0)))+IF(OR($E12="",$E12="No Sensor"),0,IF(IFERROR(INDEX(SensorTier,MATCH($E12,SensorName,0)),"Standard")="Standard",0,IFERROR(INDEX(DB_Rate,MATCH(IFERROR(INDEX(TierKeys,MATCH(IFERROR(INDEX(SensorTier,MATCH($E12,SensorName,0)),"Standard"),INDEX(TierKeys,0,1),0),2),""),DB_Key,0)),0)))+IF(OR($F12="",$F12="No Sensor"),0,IF(IFERROR(INDEX(SensorTier,MATCH($F12,SensorName,0)),"Standard")="Standard",0,IFERROR(INDEX(DB_Rate,MATCH(IFERROR(INDEX(TierKeys,MATCH(IFERROR(INDEX(SensorTier,MATCH($F12,SensorName,0)),"Standard"),INDEX(TierKeys,0,1),0),2),""),DB_Key,0)),0)))+IF(OR($G12="",$G12="No Sensor"),0,IF(IFERROR(INDEX(SensorTier,MATCH($G12,SensorName,0)),"Standard")="Standard",0,IFERROR(INDEX(DB_Rate,MATCH(IFERROR(INDEX(TierKeys,MATCH(IFERROR(INDEX(SensorTier,MATCH($G12,SensorName,0)),"Standard"),INDEX(TierKeys,0,1),0),2),""),DB_Key,0)),0))))</f>
        <v/>
      </c>
      <c r="M12" s="28">
        <f aca="false">IF($C12="","",IF(ISNUMBER($K12),$K12+$L12+$S12,""))</f>
      </c>
      <c r="N12" s="29" t="n">
        <f aca="false">IF(AND($C12&lt;&gt;"",ISNUMBER($M12)),$H12*$I12*$M12*(1-$J12),0)</f>
        <v>0</v>
      </c>
      <c r="O12" s="30">
        <f aca="false">IF($C12="","",SUBSTITUTE(IFERROR(INDEX(DeviceMap,MATCH($C12,INDEX(DeviceMap,0,1),0),3),""),"~",IF(OR($R12="",$R12="No Module"),"X",IFERROR(INDEX(GEMMap,MATCH($R12,INDEX(GEMMap,0,1),0),2),"X")))&amp;"-"&amp;$X12&amp;"-1D")</f>
      </c>
      <c r="P12" s="31">
        <f aca="false">IF($C12="","",$C12&amp;", with ("&amp;TEXTJOIN("/",TRUE,IF($D12="No Sensor","",$D12),IF($E12="No Sensor","",$E12),IF($F12="No Sensor","",$F12),IF($G12="No Sensor","",$G12))&amp;")"&amp;IF(OR($R12="",$R12="No Module"),""," + 8-gas expansion module: "&amp;$R12))</f>
      </c>
      <c r="Q12" s="32">
        <f aca="false">IF($C12="","",IF(AND($R12&lt;&gt;"",$R12&lt;&gt;"No Module",ISERROR(SEARCH("EXO",$C12))),"Module needs EXO device",IF(OR($K12="?",NOT(ISNUMBER($M12))),"Unknown rate",IF(AND($F12&lt;&gt;"No Sensor",$F12=$G12),"Duplicate sensors",IF(AND($D12="No Sensor",$E12="No Sensor",$F12="No Sensor",$G12="No Sensor"),"Review: no sensors","Complete")))))</f>
      </c>
      <c r="R12" s="24" t="inlineStr">
        <is>
          <t xml:space="preserve">No Module</t>
        </is>
      </c>
      <c r="S12" s="27">
        <f aca="false">IF($C12="","",IF(OR($R12="",$R12="No Module"),0,IFERROR(INDEX(DB_Rate,MATCH(INDEX(GEMMap,MATCH($R12,INDEX(GEMMap,0,1),0),3),DB_Key,0)),0)))</f>
      </c>
      <c r="T12">
        <f aca="false">CODE(IFERROR(INDEX(SensorCode,MATCH($D12,SensorName,0)),"X"))</f>
      </c>
      <c r="U12">
        <f aca="false">CODE(IFERROR(INDEX(SensorCode,MATCH($E12,SensorName,0)),"X"))</f>
      </c>
      <c r="V12">
        <f aca="false">CODE(IFERROR(INDEX(SensorCode,MATCH($F12,SensorName,0)),"X"))</f>
      </c>
      <c r="W12">
        <f aca="false">CODE(IFERROR(INDEX(SensorCode,MATCH($G12,SensorName,0)),"X"))</f>
      </c>
      <c r="X12">
        <f aca="false">CHAR(SMALL($T12:$W12,1))&amp;CHAR(SMALL($T12:$W12,2))&amp;CHAR(SMALL($T12:$W12,3))&amp;CHAR(SMALL($T12:$W12,4))</f>
      </c>
    </row>
    <row r="13" customFormat="false" ht="15" hidden="false" customHeight="true" outlineLevel="0" collapsed="false">
      <c r="B13" s="23" t="n">
        <v>6</v>
      </c>
      <c r="C13" s="24"/>
      <c r="D13" s="24" t="s">
        <v>50</v>
      </c>
      <c r="E13" s="24" t="s">
        <v>37</v>
      </c>
      <c r="F13" s="24" t="s">
        <v>51</v>
      </c>
      <c r="G13" s="24" t="s">
        <v>51</v>
      </c>
      <c r="H13" s="25" t="n">
        <v>1</v>
      </c>
      <c r="I13" s="25" t="n">
        <f aca="false">IF(ISNUMBER(Default_Days),Default_Days,1)</f>
        <v>1</v>
      </c>
      <c r="J13" s="26" t="n">
        <v>0</v>
      </c>
      <c r="K13" s="27" t="str">
        <f aca="false">IF($C13="","",IFERROR(INDEX(DB_Rate,MATCH(IFERROR(INDEX(DeviceMap,MATCH($C13,INDEX(DeviceMap,0,1),0),2),""),DB_Key,0)),"?"))</f>
        <v/>
      </c>
      <c r="L13" s="27" t="str">
        <f aca="false">IF($C13="","",IF(OR($D13="",$D13="No Sensor"),0,IF(IFERROR(INDEX(SensorTier,MATCH($D13,SensorName,0)),"Standard")="Standard",0,IFERROR(INDEX(DB_Rate,MATCH(IFERROR(INDEX(TierKeys,MATCH(IFERROR(INDEX(SensorTier,MATCH($D13,SensorName,0)),"Standard"),INDEX(TierKeys,0,1),0),2),""),DB_Key,0)),0)))+IF(OR($E13="",$E13="No Sensor"),0,IF(IFERROR(INDEX(SensorTier,MATCH($E13,SensorName,0)),"Standard")="Standard",0,IFERROR(INDEX(DB_Rate,MATCH(IFERROR(INDEX(TierKeys,MATCH(IFERROR(INDEX(SensorTier,MATCH($E13,SensorName,0)),"Standard"),INDEX(TierKeys,0,1),0),2),""),DB_Key,0)),0)))+IF(OR($F13="",$F13="No Sensor"),0,IF(IFERROR(INDEX(SensorTier,MATCH($F13,SensorName,0)),"Standard")="Standard",0,IFERROR(INDEX(DB_Rate,MATCH(IFERROR(INDEX(TierKeys,MATCH(IFERROR(INDEX(SensorTier,MATCH($F13,SensorName,0)),"Standard"),INDEX(TierKeys,0,1),0),2),""),DB_Key,0)),0)))+IF(OR($G13="",$G13="No Sensor"),0,IF(IFERROR(INDEX(SensorTier,MATCH($G13,SensorName,0)),"Standard")="Standard",0,IFERROR(INDEX(DB_Rate,MATCH(IFERROR(INDEX(TierKeys,MATCH(IFERROR(INDEX(SensorTier,MATCH($G13,SensorName,0)),"Standard"),INDEX(TierKeys,0,1),0),2),""),DB_Key,0)),0))))</f>
        <v/>
      </c>
      <c r="M13" s="28">
        <f aca="false">IF($C13="","",IF(ISNUMBER($K13),$K13+$L13+$S13,""))</f>
      </c>
      <c r="N13" s="29" t="n">
        <f aca="false">IF(AND($C13&lt;&gt;"",ISNUMBER($M13)),$H13*$I13*$M13*(1-$J13),0)</f>
        <v>0</v>
      </c>
      <c r="O13" s="30">
        <f aca="false">IF($C13="","",SUBSTITUTE(IFERROR(INDEX(DeviceMap,MATCH($C13,INDEX(DeviceMap,0,1),0),3),""),"~",IF(OR($R13="",$R13="No Module"),"X",IFERROR(INDEX(GEMMap,MATCH($R13,INDEX(GEMMap,0,1),0),2),"X")))&amp;"-"&amp;$X13&amp;"-1D")</f>
      </c>
      <c r="P13" s="31">
        <f aca="false">IF($C13="","",$C13&amp;", with ("&amp;TEXTJOIN("/",TRUE,IF($D13="No Sensor","",$D13),IF($E13="No Sensor","",$E13),IF($F13="No Sensor","",$F13),IF($G13="No Sensor","",$G13))&amp;")"&amp;IF(OR($R13="",$R13="No Module"),""," + 8-gas expansion module: "&amp;$R13))</f>
      </c>
      <c r="Q13" s="32">
        <f aca="false">IF($C13="","",IF(AND($R13&lt;&gt;"",$R13&lt;&gt;"No Module",ISERROR(SEARCH("EXO",$C13))),"Module needs EXO device",IF(OR($K13="?",NOT(ISNUMBER($M13))),"Unknown rate",IF(AND($F13&lt;&gt;"No Sensor",$F13=$G13),"Duplicate sensors",IF(AND($D13="No Sensor",$E13="No Sensor",$F13="No Sensor",$G13="No Sensor"),"Review: no sensors","Complete")))))</f>
      </c>
      <c r="R13" s="24" t="inlineStr">
        <is>
          <t xml:space="preserve">No Module</t>
        </is>
      </c>
      <c r="S13" s="27">
        <f aca="false">IF($C13="","",IF(OR($R13="",$R13="No Module"),0,IFERROR(INDEX(DB_Rate,MATCH(INDEX(GEMMap,MATCH($R13,INDEX(GEMMap,0,1),0),3),DB_Key,0)),0)))</f>
      </c>
      <c r="T13">
        <f aca="false">CODE(IFERROR(INDEX(SensorCode,MATCH($D13,SensorName,0)),"X"))</f>
      </c>
      <c r="U13">
        <f aca="false">CODE(IFERROR(INDEX(SensorCode,MATCH($E13,SensorName,0)),"X"))</f>
      </c>
      <c r="V13">
        <f aca="false">CODE(IFERROR(INDEX(SensorCode,MATCH($F13,SensorName,0)),"X"))</f>
      </c>
      <c r="W13">
        <f aca="false">CODE(IFERROR(INDEX(SensorCode,MATCH($G13,SensorName,0)),"X"))</f>
      </c>
      <c r="X13">
        <f aca="false">CHAR(SMALL($T13:$W13,1))&amp;CHAR(SMALL($T13:$W13,2))&amp;CHAR(SMALL($T13:$W13,3))&amp;CHAR(SMALL($T13:$W13,4))</f>
      </c>
    </row>
    <row r="14" customFormat="false" ht="15" hidden="false" customHeight="true" outlineLevel="0" collapsed="false">
      <c r="B14" s="23" t="n">
        <v>7</v>
      </c>
      <c r="C14" s="24"/>
      <c r="D14" s="24" t="s">
        <v>50</v>
      </c>
      <c r="E14" s="24" t="s">
        <v>37</v>
      </c>
      <c r="F14" s="24" t="s">
        <v>51</v>
      </c>
      <c r="G14" s="24" t="s">
        <v>51</v>
      </c>
      <c r="H14" s="25" t="n">
        <v>1</v>
      </c>
      <c r="I14" s="25" t="n">
        <f aca="false">IF(ISNUMBER(Default_Days),Default_Days,1)</f>
        <v>1</v>
      </c>
      <c r="J14" s="26" t="n">
        <v>0</v>
      </c>
      <c r="K14" s="27" t="str">
        <f aca="false">IF($C14="","",IFERROR(INDEX(DB_Rate,MATCH(IFERROR(INDEX(DeviceMap,MATCH($C14,INDEX(DeviceMap,0,1),0),2),""),DB_Key,0)),"?"))</f>
        <v/>
      </c>
      <c r="L14" s="27" t="str">
        <f aca="false">IF($C14="","",IF(OR($D14="",$D14="No Sensor"),0,IF(IFERROR(INDEX(SensorTier,MATCH($D14,SensorName,0)),"Standard")="Standard",0,IFERROR(INDEX(DB_Rate,MATCH(IFERROR(INDEX(TierKeys,MATCH(IFERROR(INDEX(SensorTier,MATCH($D14,SensorName,0)),"Standard"),INDEX(TierKeys,0,1),0),2),""),DB_Key,0)),0)))+IF(OR($E14="",$E14="No Sensor"),0,IF(IFERROR(INDEX(SensorTier,MATCH($E14,SensorName,0)),"Standard")="Standard",0,IFERROR(INDEX(DB_Rate,MATCH(IFERROR(INDEX(TierKeys,MATCH(IFERROR(INDEX(SensorTier,MATCH($E14,SensorName,0)),"Standard"),INDEX(TierKeys,0,1),0),2),""),DB_Key,0)),0)))+IF(OR($F14="",$F14="No Sensor"),0,IF(IFERROR(INDEX(SensorTier,MATCH($F14,SensorName,0)),"Standard")="Standard",0,IFERROR(INDEX(DB_Rate,MATCH(IFERROR(INDEX(TierKeys,MATCH(IFERROR(INDEX(SensorTier,MATCH($F14,SensorName,0)),"Standard"),INDEX(TierKeys,0,1),0),2),""),DB_Key,0)),0)))+IF(OR($G14="",$G14="No Sensor"),0,IF(IFERROR(INDEX(SensorTier,MATCH($G14,SensorName,0)),"Standard")="Standard",0,IFERROR(INDEX(DB_Rate,MATCH(IFERROR(INDEX(TierKeys,MATCH(IFERROR(INDEX(SensorTier,MATCH($G14,SensorName,0)),"Standard"),INDEX(TierKeys,0,1),0),2),""),DB_Key,0)),0))))</f>
        <v/>
      </c>
      <c r="M14" s="28">
        <f aca="false">IF($C14="","",IF(ISNUMBER($K14),$K14+$L14+$S14,""))</f>
      </c>
      <c r="N14" s="29" t="n">
        <f aca="false">IF(AND($C14&lt;&gt;"",ISNUMBER($M14)),$H14*$I14*$M14*(1-$J14),0)</f>
        <v>0</v>
      </c>
      <c r="O14" s="30">
        <f aca="false">IF($C14="","",SUBSTITUTE(IFERROR(INDEX(DeviceMap,MATCH($C14,INDEX(DeviceMap,0,1),0),3),""),"~",IF(OR($R14="",$R14="No Module"),"X",IFERROR(INDEX(GEMMap,MATCH($R14,INDEX(GEMMap,0,1),0),2),"X")))&amp;"-"&amp;$X14&amp;"-1D")</f>
      </c>
      <c r="P14" s="31">
        <f aca="false">IF($C14="","",$C14&amp;", with ("&amp;TEXTJOIN("/",TRUE,IF($D14="No Sensor","",$D14),IF($E14="No Sensor","",$E14),IF($F14="No Sensor","",$F14),IF($G14="No Sensor","",$G14))&amp;")"&amp;IF(OR($R14="",$R14="No Module"),""," + 8-gas expansion module: "&amp;$R14))</f>
      </c>
      <c r="Q14" s="32">
        <f aca="false">IF($C14="","",IF(AND($R14&lt;&gt;"",$R14&lt;&gt;"No Module",ISERROR(SEARCH("EXO",$C14))),"Module needs EXO device",IF(OR($K14="?",NOT(ISNUMBER($M14))),"Unknown rate",IF(AND($F14&lt;&gt;"No Sensor",$F14=$G14),"Duplicate sensors",IF(AND($D14="No Sensor",$E14="No Sensor",$F14="No Sensor",$G14="No Sensor"),"Review: no sensors","Complete")))))</f>
      </c>
      <c r="R14" s="24" t="inlineStr">
        <is>
          <t xml:space="preserve">No Module</t>
        </is>
      </c>
      <c r="S14" s="27">
        <f aca="false">IF($C14="","",IF(OR($R14="",$R14="No Module"),0,IFERROR(INDEX(DB_Rate,MATCH(INDEX(GEMMap,MATCH($R14,INDEX(GEMMap,0,1),0),3),DB_Key,0)),0)))</f>
      </c>
      <c r="T14">
        <f aca="false">CODE(IFERROR(INDEX(SensorCode,MATCH($D14,SensorName,0)),"X"))</f>
      </c>
      <c r="U14">
        <f aca="false">CODE(IFERROR(INDEX(SensorCode,MATCH($E14,SensorName,0)),"X"))</f>
      </c>
      <c r="V14">
        <f aca="false">CODE(IFERROR(INDEX(SensorCode,MATCH($F14,SensorName,0)),"X"))</f>
      </c>
      <c r="W14">
        <f aca="false">CODE(IFERROR(INDEX(SensorCode,MATCH($G14,SensorName,0)),"X"))</f>
      </c>
      <c r="X14">
        <f aca="false">CHAR(SMALL($T14:$W14,1))&amp;CHAR(SMALL($T14:$W14,2))&amp;CHAR(SMALL($T14:$W14,3))&amp;CHAR(SMALL($T14:$W14,4))</f>
      </c>
    </row>
    <row r="15" customFormat="false" ht="15" hidden="false" customHeight="true" outlineLevel="0" collapsed="false">
      <c r="B15" s="23" t="n">
        <v>8</v>
      </c>
      <c r="C15" s="24"/>
      <c r="D15" s="24" t="s">
        <v>50</v>
      </c>
      <c r="E15" s="24" t="s">
        <v>37</v>
      </c>
      <c r="F15" s="24" t="s">
        <v>51</v>
      </c>
      <c r="G15" s="24" t="s">
        <v>51</v>
      </c>
      <c r="H15" s="25" t="n">
        <v>1</v>
      </c>
      <c r="I15" s="25" t="n">
        <f aca="false">IF(ISNUMBER(Default_Days),Default_Days,1)</f>
        <v>1</v>
      </c>
      <c r="J15" s="26" t="n">
        <v>0</v>
      </c>
      <c r="K15" s="27" t="str">
        <f aca="false">IF($C15="","",IFERROR(INDEX(DB_Rate,MATCH(IFERROR(INDEX(DeviceMap,MATCH($C15,INDEX(DeviceMap,0,1),0),2),""),DB_Key,0)),"?"))</f>
        <v/>
      </c>
      <c r="L15" s="27" t="str">
        <f aca="false">IF($C15="","",IF(OR($D15="",$D15="No Sensor"),0,IF(IFERROR(INDEX(SensorTier,MATCH($D15,SensorName,0)),"Standard")="Standard",0,IFERROR(INDEX(DB_Rate,MATCH(IFERROR(INDEX(TierKeys,MATCH(IFERROR(INDEX(SensorTier,MATCH($D15,SensorName,0)),"Standard"),INDEX(TierKeys,0,1),0),2),""),DB_Key,0)),0)))+IF(OR($E15="",$E15="No Sensor"),0,IF(IFERROR(INDEX(SensorTier,MATCH($E15,SensorName,0)),"Standard")="Standard",0,IFERROR(INDEX(DB_Rate,MATCH(IFERROR(INDEX(TierKeys,MATCH(IFERROR(INDEX(SensorTier,MATCH($E15,SensorName,0)),"Standard"),INDEX(TierKeys,0,1),0),2),""),DB_Key,0)),0)))+IF(OR($F15="",$F15="No Sensor"),0,IF(IFERROR(INDEX(SensorTier,MATCH($F15,SensorName,0)),"Standard")="Standard",0,IFERROR(INDEX(DB_Rate,MATCH(IFERROR(INDEX(TierKeys,MATCH(IFERROR(INDEX(SensorTier,MATCH($F15,SensorName,0)),"Standard"),INDEX(TierKeys,0,1),0),2),""),DB_Key,0)),0)))+IF(OR($G15="",$G15="No Sensor"),0,IF(IFERROR(INDEX(SensorTier,MATCH($G15,SensorName,0)),"Standard")="Standard",0,IFERROR(INDEX(DB_Rate,MATCH(IFERROR(INDEX(TierKeys,MATCH(IFERROR(INDEX(SensorTier,MATCH($G15,SensorName,0)),"Standard"),INDEX(TierKeys,0,1),0),2),""),DB_Key,0)),0))))</f>
        <v/>
      </c>
      <c r="M15" s="28">
        <f aca="false">IF($C15="","",IF(ISNUMBER($K15),$K15+$L15+$S15,""))</f>
      </c>
      <c r="N15" s="29" t="n">
        <f aca="false">IF(AND($C15&lt;&gt;"",ISNUMBER($M15)),$H15*$I15*$M15*(1-$J15),0)</f>
        <v>0</v>
      </c>
      <c r="O15" s="30">
        <f aca="false">IF($C15="","",SUBSTITUTE(IFERROR(INDEX(DeviceMap,MATCH($C15,INDEX(DeviceMap,0,1),0),3),""),"~",IF(OR($R15="",$R15="No Module"),"X",IFERROR(INDEX(GEMMap,MATCH($R15,INDEX(GEMMap,0,1),0),2),"X")))&amp;"-"&amp;$X15&amp;"-1D")</f>
      </c>
      <c r="P15" s="31">
        <f aca="false">IF($C15="","",$C15&amp;", with ("&amp;TEXTJOIN("/",TRUE,IF($D15="No Sensor","",$D15),IF($E15="No Sensor","",$E15),IF($F15="No Sensor","",$F15),IF($G15="No Sensor","",$G15))&amp;")"&amp;IF(OR($R15="",$R15="No Module"),""," + 8-gas expansion module: "&amp;$R15))</f>
      </c>
      <c r="Q15" s="32">
        <f aca="false">IF($C15="","",IF(AND($R15&lt;&gt;"",$R15&lt;&gt;"No Module",ISERROR(SEARCH("EXO",$C15))),"Module needs EXO device",IF(OR($K15="?",NOT(ISNUMBER($M15))),"Unknown rate",IF(AND($F15&lt;&gt;"No Sensor",$F15=$G15),"Duplicate sensors",IF(AND($D15="No Sensor",$E15="No Sensor",$F15="No Sensor",$G15="No Sensor"),"Review: no sensors","Complete")))))</f>
      </c>
      <c r="R15" s="24" t="inlineStr">
        <is>
          <t xml:space="preserve">No Module</t>
        </is>
      </c>
      <c r="S15" s="27">
        <f aca="false">IF($C15="","",IF(OR($R15="",$R15="No Module"),0,IFERROR(INDEX(DB_Rate,MATCH(INDEX(GEMMap,MATCH($R15,INDEX(GEMMap,0,1),0),3),DB_Key,0)),0)))</f>
      </c>
      <c r="T15">
        <f aca="false">CODE(IFERROR(INDEX(SensorCode,MATCH($D15,SensorName,0)),"X"))</f>
      </c>
      <c r="U15">
        <f aca="false">CODE(IFERROR(INDEX(SensorCode,MATCH($E15,SensorName,0)),"X"))</f>
      </c>
      <c r="V15">
        <f aca="false">CODE(IFERROR(INDEX(SensorCode,MATCH($F15,SensorName,0)),"X"))</f>
      </c>
      <c r="W15">
        <f aca="false">CODE(IFERROR(INDEX(SensorCode,MATCH($G15,SensorName,0)),"X"))</f>
      </c>
      <c r="X15">
        <f aca="false">CHAR(SMALL($T15:$W15,1))&amp;CHAR(SMALL($T15:$W15,2))&amp;CHAR(SMALL($T15:$W15,3))&amp;CHAR(SMALL($T15:$W15,4))</f>
      </c>
    </row>
    <row r="16" customFormat="false" ht="15" hidden="false" customHeight="true" outlineLevel="0" collapsed="false">
      <c r="B16" s="23" t="n">
        <v>9</v>
      </c>
      <c r="C16" s="24"/>
      <c r="D16" s="24" t="s">
        <v>50</v>
      </c>
      <c r="E16" s="24" t="s">
        <v>37</v>
      </c>
      <c r="F16" s="24" t="s">
        <v>51</v>
      </c>
      <c r="G16" s="24" t="s">
        <v>51</v>
      </c>
      <c r="H16" s="25" t="n">
        <v>1</v>
      </c>
      <c r="I16" s="25" t="n">
        <f aca="false">IF(ISNUMBER(Default_Days),Default_Days,1)</f>
        <v>1</v>
      </c>
      <c r="J16" s="26" t="n">
        <v>0</v>
      </c>
      <c r="K16" s="27" t="str">
        <f aca="false">IF($C16="","",IFERROR(INDEX(DB_Rate,MATCH(IFERROR(INDEX(DeviceMap,MATCH($C16,INDEX(DeviceMap,0,1),0),2),""),DB_Key,0)),"?"))</f>
        <v/>
      </c>
      <c r="L16" s="27" t="str">
        <f aca="false">IF($C16="","",IF(OR($D16="",$D16="No Sensor"),0,IF(IFERROR(INDEX(SensorTier,MATCH($D16,SensorName,0)),"Standard")="Standard",0,IFERROR(INDEX(DB_Rate,MATCH(IFERROR(INDEX(TierKeys,MATCH(IFERROR(INDEX(SensorTier,MATCH($D16,SensorName,0)),"Standard"),INDEX(TierKeys,0,1),0),2),""),DB_Key,0)),0)))+IF(OR($E16="",$E16="No Sensor"),0,IF(IFERROR(INDEX(SensorTier,MATCH($E16,SensorName,0)),"Standard")="Standard",0,IFERROR(INDEX(DB_Rate,MATCH(IFERROR(INDEX(TierKeys,MATCH(IFERROR(INDEX(SensorTier,MATCH($E16,SensorName,0)),"Standard"),INDEX(TierKeys,0,1),0),2),""),DB_Key,0)),0)))+IF(OR($F16="",$F16="No Sensor"),0,IF(IFERROR(INDEX(SensorTier,MATCH($F16,SensorName,0)),"Standard")="Standard",0,IFERROR(INDEX(DB_Rate,MATCH(IFERROR(INDEX(TierKeys,MATCH(IFERROR(INDEX(SensorTier,MATCH($F16,SensorName,0)),"Standard"),INDEX(TierKeys,0,1),0),2),""),DB_Key,0)),0)))+IF(OR($G16="",$G16="No Sensor"),0,IF(IFERROR(INDEX(SensorTier,MATCH($G16,SensorName,0)),"Standard")="Standard",0,IFERROR(INDEX(DB_Rate,MATCH(IFERROR(INDEX(TierKeys,MATCH(IFERROR(INDEX(SensorTier,MATCH($G16,SensorName,0)),"Standard"),INDEX(TierKeys,0,1),0),2),""),DB_Key,0)),0))))</f>
        <v/>
      </c>
      <c r="M16" s="28">
        <f aca="false">IF($C16="","",IF(ISNUMBER($K16),$K16+$L16+$S16,""))</f>
      </c>
      <c r="N16" s="29" t="n">
        <f aca="false">IF(AND($C16&lt;&gt;"",ISNUMBER($M16)),$H16*$I16*$M16*(1-$J16),0)</f>
        <v>0</v>
      </c>
      <c r="O16" s="30">
        <f aca="false">IF($C16="","",SUBSTITUTE(IFERROR(INDEX(DeviceMap,MATCH($C16,INDEX(DeviceMap,0,1),0),3),""),"~",IF(OR($R16="",$R16="No Module"),"X",IFERROR(INDEX(GEMMap,MATCH($R16,INDEX(GEMMap,0,1),0),2),"X")))&amp;"-"&amp;$X16&amp;"-1D")</f>
      </c>
      <c r="P16" s="31">
        <f aca="false">IF($C16="","",$C16&amp;", with ("&amp;TEXTJOIN("/",TRUE,IF($D16="No Sensor","",$D16),IF($E16="No Sensor","",$E16),IF($F16="No Sensor","",$F16),IF($G16="No Sensor","",$G16))&amp;")"&amp;IF(OR($R16="",$R16="No Module"),""," + 8-gas expansion module: "&amp;$R16))</f>
      </c>
      <c r="Q16" s="32">
        <f aca="false">IF($C16="","",IF(AND($R16&lt;&gt;"",$R16&lt;&gt;"No Module",ISERROR(SEARCH("EXO",$C16))),"Module needs EXO device",IF(OR($K16="?",NOT(ISNUMBER($M16))),"Unknown rate",IF(AND($F16&lt;&gt;"No Sensor",$F16=$G16),"Duplicate sensors",IF(AND($D16="No Sensor",$E16="No Sensor",$F16="No Sensor",$G16="No Sensor"),"Review: no sensors","Complete")))))</f>
      </c>
      <c r="R16" s="24" t="inlineStr">
        <is>
          <t xml:space="preserve">No Module</t>
        </is>
      </c>
      <c r="S16" s="27">
        <f aca="false">IF($C16="","",IF(OR($R16="",$R16="No Module"),0,IFERROR(INDEX(DB_Rate,MATCH(INDEX(GEMMap,MATCH($R16,INDEX(GEMMap,0,1),0),3),DB_Key,0)),0)))</f>
      </c>
      <c r="T16">
        <f aca="false">CODE(IFERROR(INDEX(SensorCode,MATCH($D16,SensorName,0)),"X"))</f>
      </c>
      <c r="U16">
        <f aca="false">CODE(IFERROR(INDEX(SensorCode,MATCH($E16,SensorName,0)),"X"))</f>
      </c>
      <c r="V16">
        <f aca="false">CODE(IFERROR(INDEX(SensorCode,MATCH($F16,SensorName,0)),"X"))</f>
      </c>
      <c r="W16">
        <f aca="false">CODE(IFERROR(INDEX(SensorCode,MATCH($G16,SensorName,0)),"X"))</f>
      </c>
      <c r="X16">
        <f aca="false">CHAR(SMALL($T16:$W16,1))&amp;CHAR(SMALL($T16:$W16,2))&amp;CHAR(SMALL($T16:$W16,3))&amp;CHAR(SMALL($T16:$W16,4))</f>
      </c>
    </row>
    <row r="17" customFormat="false" ht="15" hidden="false" customHeight="true" outlineLevel="0" collapsed="false">
      <c r="B17" s="23" t="n">
        <v>10</v>
      </c>
      <c r="C17" s="24"/>
      <c r="D17" s="24" t="s">
        <v>50</v>
      </c>
      <c r="E17" s="24" t="s">
        <v>37</v>
      </c>
      <c r="F17" s="24" t="s">
        <v>51</v>
      </c>
      <c r="G17" s="24" t="s">
        <v>51</v>
      </c>
      <c r="H17" s="25" t="n">
        <v>1</v>
      </c>
      <c r="I17" s="25" t="n">
        <f aca="false">IF(ISNUMBER(Default_Days),Default_Days,1)</f>
        <v>1</v>
      </c>
      <c r="J17" s="26" t="n">
        <v>0</v>
      </c>
      <c r="K17" s="27" t="str">
        <f aca="false">IF($C17="","",IFERROR(INDEX(DB_Rate,MATCH(IFERROR(INDEX(DeviceMap,MATCH($C17,INDEX(DeviceMap,0,1),0),2),""),DB_Key,0)),"?"))</f>
        <v/>
      </c>
      <c r="L17" s="27" t="str">
        <f aca="false">IF($C17="","",IF(OR($D17="",$D17="No Sensor"),0,IF(IFERROR(INDEX(SensorTier,MATCH($D17,SensorName,0)),"Standard")="Standard",0,IFERROR(INDEX(DB_Rate,MATCH(IFERROR(INDEX(TierKeys,MATCH(IFERROR(INDEX(SensorTier,MATCH($D17,SensorName,0)),"Standard"),INDEX(TierKeys,0,1),0),2),""),DB_Key,0)),0)))+IF(OR($E17="",$E17="No Sensor"),0,IF(IFERROR(INDEX(SensorTier,MATCH($E17,SensorName,0)),"Standard")="Standard",0,IFERROR(INDEX(DB_Rate,MATCH(IFERROR(INDEX(TierKeys,MATCH(IFERROR(INDEX(SensorTier,MATCH($E17,SensorName,0)),"Standard"),INDEX(TierKeys,0,1),0),2),""),DB_Key,0)),0)))+IF(OR($F17="",$F17="No Sensor"),0,IF(IFERROR(INDEX(SensorTier,MATCH($F17,SensorName,0)),"Standard")="Standard",0,IFERROR(INDEX(DB_Rate,MATCH(IFERROR(INDEX(TierKeys,MATCH(IFERROR(INDEX(SensorTier,MATCH($F17,SensorName,0)),"Standard"),INDEX(TierKeys,0,1),0),2),""),DB_Key,0)),0)))+IF(OR($G17="",$G17="No Sensor"),0,IF(IFERROR(INDEX(SensorTier,MATCH($G17,SensorName,0)),"Standard")="Standard",0,IFERROR(INDEX(DB_Rate,MATCH(IFERROR(INDEX(TierKeys,MATCH(IFERROR(INDEX(SensorTier,MATCH($G17,SensorName,0)),"Standard"),INDEX(TierKeys,0,1),0),2),""),DB_Key,0)),0))))</f>
        <v/>
      </c>
      <c r="M17" s="28">
        <f aca="false">IF($C17="","",IF(ISNUMBER($K17),$K17+$L17+$S17,""))</f>
      </c>
      <c r="N17" s="29" t="n">
        <f aca="false">IF(AND($C17&lt;&gt;"",ISNUMBER($M17)),$H17*$I17*$M17*(1-$J17),0)</f>
        <v>0</v>
      </c>
      <c r="O17" s="30">
        <f aca="false">IF($C17="","",SUBSTITUTE(IFERROR(INDEX(DeviceMap,MATCH($C17,INDEX(DeviceMap,0,1),0),3),""),"~",IF(OR($R17="",$R17="No Module"),"X",IFERROR(INDEX(GEMMap,MATCH($R17,INDEX(GEMMap,0,1),0),2),"X")))&amp;"-"&amp;$X17&amp;"-1D")</f>
      </c>
      <c r="P17" s="31">
        <f aca="false">IF($C17="","",$C17&amp;", with ("&amp;TEXTJOIN("/",TRUE,IF($D17="No Sensor","",$D17),IF($E17="No Sensor","",$E17),IF($F17="No Sensor","",$F17),IF($G17="No Sensor","",$G17))&amp;")"&amp;IF(OR($R17="",$R17="No Module"),""," + 8-gas expansion module: "&amp;$R17))</f>
      </c>
      <c r="Q17" s="32">
        <f aca="false">IF($C17="","",IF(AND($R17&lt;&gt;"",$R17&lt;&gt;"No Module",ISERROR(SEARCH("EXO",$C17))),"Module needs EXO device",IF(OR($K17="?",NOT(ISNUMBER($M17))),"Unknown rate",IF(AND($F17&lt;&gt;"No Sensor",$F17=$G17),"Duplicate sensors",IF(AND($D17="No Sensor",$E17="No Sensor",$F17="No Sensor",$G17="No Sensor"),"Review: no sensors","Complete")))))</f>
      </c>
      <c r="R17" s="24" t="inlineStr">
        <is>
          <t xml:space="preserve">No Module</t>
        </is>
      </c>
      <c r="S17" s="27">
        <f aca="false">IF($C17="","",IF(OR($R17="",$R17="No Module"),0,IFERROR(INDEX(DB_Rate,MATCH(INDEX(GEMMap,MATCH($R17,INDEX(GEMMap,0,1),0),3),DB_Key,0)),0)))</f>
      </c>
      <c r="T17">
        <f aca="false">CODE(IFERROR(INDEX(SensorCode,MATCH($D17,SensorName,0)),"X"))</f>
      </c>
      <c r="U17">
        <f aca="false">CODE(IFERROR(INDEX(SensorCode,MATCH($E17,SensorName,0)),"X"))</f>
      </c>
      <c r="V17">
        <f aca="false">CODE(IFERROR(INDEX(SensorCode,MATCH($F17,SensorName,0)),"X"))</f>
      </c>
      <c r="W17">
        <f aca="false">CODE(IFERROR(INDEX(SensorCode,MATCH($G17,SensorName,0)),"X"))</f>
      </c>
      <c r="X17">
        <f aca="false">CHAR(SMALL($T17:$W17,1))&amp;CHAR(SMALL($T17:$W17,2))&amp;CHAR(SMALL($T17:$W17,3))&amp;CHAR(SMALL($T17:$W17,4))</f>
      </c>
    </row>
    <row r="19" customFormat="false" ht="15" hidden="false" customHeight="true" outlineLevel="0" collapsed="false">
      <c r="M19" s="33" t="s">
        <v>52</v>
      </c>
      <c r="N19" s="34" t="n">
        <f aca="false">SUM(N8:N17)</f>
        <v>0</v>
      </c>
    </row>
  </sheetData>
  <autoFilter ref="B7:Q17"/>
  <mergeCells count="2">
    <mergeCell ref="B2:Q2"/>
    <mergeCell ref="B3:Q3"/>
  </mergeCells>
  <conditionalFormatting sqref="Q8:Q17">
    <cfRule type="expression" priority="2" aboveAverage="0" equalAverage="0" bottom="0" percent="0" rank="0" text="" dxfId="9">
      <formula>$Q8="Complete"</formula>
    </cfRule>
    <cfRule type="expression" priority="3" aboveAverage="0" equalAverage="0" bottom="0" percent="0" rank="0" text="" dxfId="10">
      <formula>OR($Q8="Duplicate sensors",$Q8="Unknown rate")</formula>
    </cfRule>
    <cfRule type="expression" priority="4" aboveAverage="0" equalAverage="0" bottom="0" percent="0" rank="0" text="" dxfId="11">
      <formula>$Q8="Review: no sensors"</formula>
    </cfRule>
  </conditionalFormatting>
  <conditionalFormatting sqref="F8:G17">
    <cfRule type="expression" priority="5" aboveAverage="0" equalAverage="0" bottom="0" percent="0" rank="0" text="" dxfId="0">
      <formula>AND($F8&lt;&gt;"No Sensor",$F8=$G8)</formula>
    </cfRule>
  </conditionalFormatting>
  <conditionalFormatting sqref="K8:K17">
    <cfRule type="expression" priority="6" aboveAverage="0" equalAverage="0" bottom="0" percent="0" rank="0" text="" dxfId="0">
      <formula>$K8="?"</formula>
    </cfRule>
  </conditionalFormatting>
  <dataValidations count="9">
    <dataValidation allowBlank="true" errorStyle="stop" operator="between" showDropDown="false" showErrorMessage="false" showInputMessage="false" sqref="R8:R17" type="list">
      <formula1>GEMList</formula1>
      <formula2>0</formula2>
    </dataValidation>
    <dataValidation allowBlank="true" errorStyle="stop" operator="between" showDropDown="false" showErrorMessage="false" showInputMessage="false" sqref="C8:C17" type="list">
      <formula1>DeviceList</formula1>
      <formula2>0</formula2>
    </dataValidation>
    <dataValidation allowBlank="true" errorStyle="stop" operator="between" showDropDown="false" showErrorMessage="false" showInputMessage="false" sqref="D8:D17" type="list">
      <formula1>LEL_List</formula1>
      <formula2>0</formula2>
    </dataValidation>
    <dataValidation allowBlank="true" errorStyle="stop" operator="between" showDropDown="false" showErrorMessage="false" showInputMessage="false" sqref="E8:E17" type="list">
      <formula1>O2_List</formula1>
      <formula2>0</formula2>
    </dataValidation>
    <dataValidation allowBlank="true" errorStyle="stop" operator="between" showDropDown="false" showErrorMessage="false" showInputMessage="false" sqref="F8:F17" type="list">
      <formula1>Tox1_List</formula1>
      <formula2>0</formula2>
    </dataValidation>
    <dataValidation allowBlank="true" errorStyle="stop" operator="between" showDropDown="false" showErrorMessage="false" showInputMessage="false" sqref="G8:G17" type="list">
      <formula1>Tox2_List</formula1>
      <formula2>0</formula2>
    </dataValidation>
    <dataValidation allowBlank="true" errorStyle="stop" operator="between" showDropDown="false" showErrorMessage="false" showInputMessage="false" sqref="H8:H17" type="whole">
      <formula1>0</formula1>
      <formula2>100000</formula2>
    </dataValidation>
    <dataValidation allowBlank="true" errorStyle="stop" operator="between" showDropDown="false" showErrorMessage="false" showInputMessage="false" sqref="I8:I17" type="whole">
      <formula1>0</formula1>
      <formula2>3650</formula2>
    </dataValidation>
    <dataValidation allowBlank="true" error="Discount must be 0%-100%" errorStyle="stop" errorTitle="Invalid discount" operator="between" showDropDown="false" showErrorMessage="false" showInputMessage="false" sqref="J8:J17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Rental Quoting Tool — Guided Configurator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2707A"/>
    <pageSetUpPr fitToPage="true"/>
  </sheetPr>
  <dimension ref="B2:N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26"/>
    <col collapsed="false" customWidth="true" hidden="false" outlineLevel="0" max="4" min="4" style="1" width="46"/>
    <col collapsed="false" customWidth="true" hidden="false" outlineLevel="0" max="5" min="5" style="1" width="22"/>
    <col collapsed="false" customWidth="true" hidden="false" outlineLevel="0" max="6" min="6" style="1" width="11"/>
    <col collapsed="false" customWidth="true" hidden="false" outlineLevel="0" max="8" min="7" style="1" width="6"/>
    <col collapsed="false" customWidth="true" hidden="false" outlineLevel="0" max="11" min="9" style="1" width="11"/>
    <col collapsed="false" customWidth="true" hidden="false" outlineLevel="0" max="12" min="12" style="1" width="8"/>
    <col collapsed="false" customWidth="true" hidden="false" outlineLevel="0" max="13" min="13" style="1" width="13"/>
    <col collapsed="false" customWidth="true" hidden="false" outlineLevel="0" max="14" min="14" style="1" width="22"/>
  </cols>
  <sheetData>
    <row r="2" customFormat="false" ht="30" hidden="false" customHeight="true" outlineLevel="0" collapsed="false">
      <c r="B2" s="2" t="s">
        <v>53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25.5" hidden="false" customHeight="true" outlineLevel="0" collapsed="false">
      <c r="B3" s="19" t="s">
        <v>54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</row>
    <row r="5" customFormat="false" ht="25.5" hidden="false" customHeight="true" outlineLevel="0" collapsed="false">
      <c r="B5" s="22" t="s">
        <v>55</v>
      </c>
      <c r="C5" s="22" t="s">
        <v>56</v>
      </c>
      <c r="D5" s="22" t="s">
        <v>57</v>
      </c>
      <c r="E5" s="22" t="s">
        <v>58</v>
      </c>
      <c r="F5" s="22" t="s">
        <v>59</v>
      </c>
      <c r="G5" s="22" t="s">
        <v>40</v>
      </c>
      <c r="H5" s="22" t="s">
        <v>41</v>
      </c>
      <c r="I5" s="22" t="s">
        <v>60</v>
      </c>
      <c r="J5" s="22" t="s">
        <v>61</v>
      </c>
      <c r="K5" s="22" t="s">
        <v>62</v>
      </c>
      <c r="L5" s="22" t="s">
        <v>42</v>
      </c>
      <c r="M5" s="22" t="s">
        <v>63</v>
      </c>
      <c r="N5" s="22" t="s">
        <v>64</v>
      </c>
    </row>
    <row r="6" customFormat="false" ht="15" hidden="false" customHeight="true" outlineLevel="0" collapsed="false">
      <c r="B6" s="24" t="s">
        <v>65</v>
      </c>
      <c r="C6" s="24" t="s">
        <v>66</v>
      </c>
      <c r="D6" s="35" t="str">
        <f aca="false">IF($C6="","",IFERROR(INDEX(DB_Desc,MATCH($C6,DB_Key,0)),"** SKU not found **"))</f>
        <v>Rental service, beacon, daily rate</v>
      </c>
      <c r="E6" s="36" t="str">
        <f aca="false">IF($C6="","",IFERROR(INDEX(DB_Cat,MATCH($C6,DB_Key,0)),""))</f>
        <v>G7 Accessories</v>
      </c>
      <c r="F6" s="24" t="s">
        <v>67</v>
      </c>
      <c r="G6" s="25" t="n">
        <v>1</v>
      </c>
      <c r="H6" s="25" t="n">
        <f aca="false">IF(ISNUMBER(Default_Days),Default_Days,1)</f>
        <v>1</v>
      </c>
      <c r="I6" s="27" t="n">
        <f aca="false">IF($C6="","",IFERROR(INDEX(DB_Rate,MATCH($C6,DB_Key,0)),""))</f>
        <v>2.4</v>
      </c>
      <c r="J6" s="37"/>
      <c r="K6" s="28" t="n">
        <f aca="false">IF($C6="","",IF(ISNUMBER($J6),$J6,IF(ISNUMBER($I6),$I6,"")))</f>
        <v>2.4</v>
      </c>
      <c r="L6" s="26" t="n">
        <v>0</v>
      </c>
      <c r="M6" s="29" t="n">
        <f aca="false">IF(AND($B6="Yes",$C6&lt;&gt;"",ISNUMBER($K6)),IF($F6="One-Time",$G6*$K6*(1-$L6),$G6*$H6*$K6*(1-$L6)),0)</f>
        <v>0</v>
      </c>
      <c r="N6" s="38"/>
    </row>
    <row r="7" customFormat="false" ht="15" hidden="false" customHeight="true" outlineLevel="0" collapsed="false">
      <c r="B7" s="24" t="s">
        <v>65</v>
      </c>
      <c r="C7" s="24" t="s">
        <v>68</v>
      </c>
      <c r="D7" s="35" t="str">
        <f aca="false">IF($C7="","",IFERROR(INDEX(DB_Desc,MATCH($C7,DB_Key,0)),"** SKU not found **"))</f>
        <v>Training, Daily, at Blackline Facility</v>
      </c>
      <c r="E7" s="36" t="str">
        <f aca="false">IF($C7="","",IFERROR(INDEX(DB_Cat,MATCH($C7,DB_Key,0)),""))</f>
        <v>Additional Services</v>
      </c>
      <c r="F7" s="24" t="s">
        <v>67</v>
      </c>
      <c r="G7" s="25" t="n">
        <v>1</v>
      </c>
      <c r="H7" s="25" t="n">
        <f aca="false">IF(ISNUMBER(Default_Days),Default_Days,1)</f>
        <v>1</v>
      </c>
      <c r="I7" s="27" t="n">
        <f aca="false">IF($C7="","",IFERROR(INDEX(DB_Rate,MATCH($C7,DB_Key,0)),""))</f>
        <v>1000</v>
      </c>
      <c r="J7" s="37"/>
      <c r="K7" s="28" t="n">
        <f aca="false">IF($C7="","",IF(ISNUMBER($J7),$J7,IF(ISNUMBER($I7),$I7,"")))</f>
        <v>1000</v>
      </c>
      <c r="L7" s="26" t="n">
        <v>0</v>
      </c>
      <c r="M7" s="29" t="n">
        <f aca="false">IF(AND($B7="Yes",$C7&lt;&gt;"",ISNUMBER($K7)),IF($F7="One-Time",$G7*$K7*(1-$L7),$G7*$H7*$K7*(1-$L7)),0)</f>
        <v>0</v>
      </c>
      <c r="N7" s="38"/>
    </row>
    <row r="8" customFormat="false" ht="15" hidden="false" customHeight="true" outlineLevel="0" collapsed="false">
      <c r="B8" s="24" t="s">
        <v>65</v>
      </c>
      <c r="C8" s="24" t="s">
        <v>69</v>
      </c>
      <c r="D8" s="35" t="str">
        <f aca="false">IF($C8="","",IFERROR(INDEX(DB_Desc,MATCH($C8,DB_Key,0)),"** SKU not found **"))</f>
        <v>One time charge - as needed  [MANUAL PRICE REQUIRED]</v>
      </c>
      <c r="E8" s="36" t="str">
        <f aca="false">IF($C8="","",IFERROR(INDEX(DB_Cat,MATCH($C8,DB_Key,0)),""))</f>
        <v>Additional Services</v>
      </c>
      <c r="F8" s="24" t="s">
        <v>67</v>
      </c>
      <c r="G8" s="25" t="n">
        <v>1</v>
      </c>
      <c r="H8" s="25" t="n">
        <f aca="false">IF(ISNUMBER(Default_Days),Default_Days,1)</f>
        <v>1</v>
      </c>
      <c r="I8" s="27" t="n">
        <f aca="false">IF($C8="","",IFERROR(INDEX(DB_Rate,MATCH($C8,DB_Key,0)),""))</f>
        <v>0</v>
      </c>
      <c r="J8" s="37" t="n">
        <v>300</v>
      </c>
      <c r="K8" s="28" t="n">
        <f aca="false">IF($C8="","",IF(ISNUMBER($J8),$J8,IF(ISNUMBER($I8),$I8,"")))</f>
        <v>300</v>
      </c>
      <c r="L8" s="26" t="n">
        <v>0</v>
      </c>
      <c r="M8" s="29" t="n">
        <f aca="false">IF(AND($B8="Yes",$C8&lt;&gt;"",ISNUMBER($K8)),IF($F8="One-Time",$G8*$K8*(1-$L8),$G8*$H8*$K8*(1-$L8)),0)</f>
        <v>0</v>
      </c>
      <c r="N8" s="38"/>
    </row>
    <row r="9" customFormat="false" ht="15" hidden="false" customHeight="true" outlineLevel="0" collapsed="false">
      <c r="B9" s="24" t="s">
        <v>65</v>
      </c>
      <c r="C9" s="24"/>
      <c r="D9" s="35" t="str">
        <f aca="false">IF($C9="","",IFERROR(INDEX(DB_Desc,MATCH($C9,DB_Key,0)),"** SKU not found **"))</f>
        <v/>
      </c>
      <c r="E9" s="36" t="str">
        <f aca="false">IF($C9="","",IFERROR(INDEX(DB_Cat,MATCH($C9,DB_Key,0)),""))</f>
        <v/>
      </c>
      <c r="F9" s="24" t="s">
        <v>67</v>
      </c>
      <c r="G9" s="25" t="n">
        <v>1</v>
      </c>
      <c r="H9" s="25" t="n">
        <f aca="false">IF(ISNUMBER(Default_Days),Default_Days,1)</f>
        <v>1</v>
      </c>
      <c r="I9" s="27" t="str">
        <f aca="false">IF($C9="","",IFERROR(INDEX(DB_Rate,MATCH($C9,DB_Key,0)),""))</f>
        <v/>
      </c>
      <c r="J9" s="37"/>
      <c r="K9" s="28" t="str">
        <f aca="false">IF($C9="","",IF(ISNUMBER($J9),$J9,IF(ISNUMBER($I9),$I9,"")))</f>
        <v/>
      </c>
      <c r="L9" s="26" t="n">
        <v>0</v>
      </c>
      <c r="M9" s="29" t="n">
        <f aca="false">IF(AND($B9="Yes",$C9&lt;&gt;"",ISNUMBER($K9)),IF($F9="One-Time",$G9*$K9*(1-$L9),$G9*$H9*$K9*(1-$L9)),0)</f>
        <v>0</v>
      </c>
      <c r="N9" s="38"/>
    </row>
    <row r="10" customFormat="false" ht="15" hidden="false" customHeight="true" outlineLevel="0" collapsed="false">
      <c r="B10" s="24" t="s">
        <v>65</v>
      </c>
      <c r="C10" s="24"/>
      <c r="D10" s="35" t="str">
        <f aca="false">IF($C10="","",IFERROR(INDEX(DB_Desc,MATCH($C10,DB_Key,0)),"** SKU not found **"))</f>
        <v/>
      </c>
      <c r="E10" s="36" t="str">
        <f aca="false">IF($C10="","",IFERROR(INDEX(DB_Cat,MATCH($C10,DB_Key,0)),""))</f>
        <v/>
      </c>
      <c r="F10" s="24" t="s">
        <v>67</v>
      </c>
      <c r="G10" s="25" t="n">
        <v>1</v>
      </c>
      <c r="H10" s="25" t="n">
        <f aca="false">IF(ISNUMBER(Default_Days),Default_Days,1)</f>
        <v>1</v>
      </c>
      <c r="I10" s="27" t="str">
        <f aca="false">IF($C10="","",IFERROR(INDEX(DB_Rate,MATCH($C10,DB_Key,0)),""))</f>
        <v/>
      </c>
      <c r="J10" s="37"/>
      <c r="K10" s="28" t="str">
        <f aca="false">IF($C10="","",IF(ISNUMBER($J10),$J10,IF(ISNUMBER($I10),$I10,"")))</f>
        <v/>
      </c>
      <c r="L10" s="26" t="n">
        <v>0</v>
      </c>
      <c r="M10" s="29" t="n">
        <f aca="false">IF(AND($B10="Yes",$C10&lt;&gt;"",ISNUMBER($K10)),IF($F10="One-Time",$G10*$K10*(1-$L10),$G10*$H10*$K10*(1-$L10)),0)</f>
        <v>0</v>
      </c>
      <c r="N10" s="38"/>
    </row>
    <row r="11" customFormat="false" ht="15" hidden="false" customHeight="true" outlineLevel="0" collapsed="false">
      <c r="B11" s="24" t="s">
        <v>65</v>
      </c>
      <c r="C11" s="24"/>
      <c r="D11" s="35" t="str">
        <f aca="false">IF($C11="","",IFERROR(INDEX(DB_Desc,MATCH($C11,DB_Key,0)),"** SKU not found **"))</f>
        <v/>
      </c>
      <c r="E11" s="36" t="str">
        <f aca="false">IF($C11="","",IFERROR(INDEX(DB_Cat,MATCH($C11,DB_Key,0)),""))</f>
        <v/>
      </c>
      <c r="F11" s="24" t="s">
        <v>67</v>
      </c>
      <c r="G11" s="25" t="n">
        <v>1</v>
      </c>
      <c r="H11" s="25" t="n">
        <f aca="false">IF(ISNUMBER(Default_Days),Default_Days,1)</f>
        <v>1</v>
      </c>
      <c r="I11" s="27" t="str">
        <f aca="false">IF($C11="","",IFERROR(INDEX(DB_Rate,MATCH($C11,DB_Key,0)),""))</f>
        <v/>
      </c>
      <c r="J11" s="37"/>
      <c r="K11" s="28" t="str">
        <f aca="false">IF($C11="","",IF(ISNUMBER($J11),$J11,IF(ISNUMBER($I11),$I11,"")))</f>
        <v/>
      </c>
      <c r="L11" s="26" t="n">
        <v>0</v>
      </c>
      <c r="M11" s="29" t="n">
        <f aca="false">IF(AND($B11="Yes",$C11&lt;&gt;"",ISNUMBER($K11)),IF($F11="One-Time",$G11*$K11*(1-$L11),$G11*$H11*$K11*(1-$L11)),0)</f>
        <v>0</v>
      </c>
      <c r="N11" s="38"/>
    </row>
    <row r="12" customFormat="false" ht="15" hidden="false" customHeight="true" outlineLevel="0" collapsed="false">
      <c r="B12" s="24" t="s">
        <v>65</v>
      </c>
      <c r="C12" s="24"/>
      <c r="D12" s="35" t="str">
        <f aca="false">IF($C12="","",IFERROR(INDEX(DB_Desc,MATCH($C12,DB_Key,0)),"** SKU not found **"))</f>
        <v/>
      </c>
      <c r="E12" s="36" t="str">
        <f aca="false">IF($C12="","",IFERROR(INDEX(DB_Cat,MATCH($C12,DB_Key,0)),""))</f>
        <v/>
      </c>
      <c r="F12" s="24" t="s">
        <v>67</v>
      </c>
      <c r="G12" s="25" t="n">
        <v>1</v>
      </c>
      <c r="H12" s="25" t="n">
        <f aca="false">IF(ISNUMBER(Default_Days),Default_Days,1)</f>
        <v>1</v>
      </c>
      <c r="I12" s="27" t="str">
        <f aca="false">IF($C12="","",IFERROR(INDEX(DB_Rate,MATCH($C12,DB_Key,0)),""))</f>
        <v/>
      </c>
      <c r="J12" s="37"/>
      <c r="K12" s="28" t="str">
        <f aca="false">IF($C12="","",IF(ISNUMBER($J12),$J12,IF(ISNUMBER($I12),$I12,"")))</f>
        <v/>
      </c>
      <c r="L12" s="26" t="n">
        <v>0</v>
      </c>
      <c r="M12" s="29" t="n">
        <f aca="false">IF(AND($B12="Yes",$C12&lt;&gt;"",ISNUMBER($K12)),IF($F12="One-Time",$G12*$K12*(1-$L12),$G12*$H12*$K12*(1-$L12)),0)</f>
        <v>0</v>
      </c>
      <c r="N12" s="38"/>
    </row>
    <row r="13" customFormat="false" ht="15" hidden="false" customHeight="true" outlineLevel="0" collapsed="false">
      <c r="B13" s="24" t="s">
        <v>65</v>
      </c>
      <c r="C13" s="24"/>
      <c r="D13" s="35" t="str">
        <f aca="false">IF($C13="","",IFERROR(INDEX(DB_Desc,MATCH($C13,DB_Key,0)),"** SKU not found **"))</f>
        <v/>
      </c>
      <c r="E13" s="36" t="str">
        <f aca="false">IF($C13="","",IFERROR(INDEX(DB_Cat,MATCH($C13,DB_Key,0)),""))</f>
        <v/>
      </c>
      <c r="F13" s="24" t="s">
        <v>67</v>
      </c>
      <c r="G13" s="25" t="n">
        <v>1</v>
      </c>
      <c r="H13" s="25" t="n">
        <f aca="false">IF(ISNUMBER(Default_Days),Default_Days,1)</f>
        <v>1</v>
      </c>
      <c r="I13" s="27" t="str">
        <f aca="false">IF($C13="","",IFERROR(INDEX(DB_Rate,MATCH($C13,DB_Key,0)),""))</f>
        <v/>
      </c>
      <c r="J13" s="37"/>
      <c r="K13" s="28" t="str">
        <f aca="false">IF($C13="","",IF(ISNUMBER($J13),$J13,IF(ISNUMBER($I13),$I13,"")))</f>
        <v/>
      </c>
      <c r="L13" s="26" t="n">
        <v>0</v>
      </c>
      <c r="M13" s="29" t="n">
        <f aca="false">IF(AND($B13="Yes",$C13&lt;&gt;"",ISNUMBER($K13)),IF($F13="One-Time",$G13*$K13*(1-$L13),$G13*$H13*$K13*(1-$L13)),0)</f>
        <v>0</v>
      </c>
      <c r="N13" s="38"/>
    </row>
    <row r="14" customFormat="false" ht="15" hidden="false" customHeight="true" outlineLevel="0" collapsed="false">
      <c r="B14" s="24" t="s">
        <v>65</v>
      </c>
      <c r="C14" s="24"/>
      <c r="D14" s="35" t="str">
        <f aca="false">IF($C14="","",IFERROR(INDEX(DB_Desc,MATCH($C14,DB_Key,0)),"** SKU not found **"))</f>
        <v/>
      </c>
      <c r="E14" s="36" t="str">
        <f aca="false">IF($C14="","",IFERROR(INDEX(DB_Cat,MATCH($C14,DB_Key,0)),""))</f>
        <v/>
      </c>
      <c r="F14" s="24" t="s">
        <v>67</v>
      </c>
      <c r="G14" s="25" t="n">
        <v>1</v>
      </c>
      <c r="H14" s="25" t="n">
        <f aca="false">IF(ISNUMBER(Default_Days),Default_Days,1)</f>
        <v>1</v>
      </c>
      <c r="I14" s="27" t="str">
        <f aca="false">IF($C14="","",IFERROR(INDEX(DB_Rate,MATCH($C14,DB_Key,0)),""))</f>
        <v/>
      </c>
      <c r="J14" s="37"/>
      <c r="K14" s="28" t="str">
        <f aca="false">IF($C14="","",IF(ISNUMBER($J14),$J14,IF(ISNUMBER($I14),$I14,"")))</f>
        <v/>
      </c>
      <c r="L14" s="26" t="n">
        <v>0</v>
      </c>
      <c r="M14" s="29" t="n">
        <f aca="false">IF(AND($B14="Yes",$C14&lt;&gt;"",ISNUMBER($K14)),IF($F14="One-Time",$G14*$K14*(1-$L14),$G14*$H14*$K14*(1-$L14)),0)</f>
        <v>0</v>
      </c>
      <c r="N14" s="38"/>
    </row>
    <row r="15" customFormat="false" ht="15" hidden="false" customHeight="true" outlineLevel="0" collapsed="false">
      <c r="B15" s="24" t="s">
        <v>65</v>
      </c>
      <c r="C15" s="24"/>
      <c r="D15" s="35" t="str">
        <f aca="false">IF($C15="","",IFERROR(INDEX(DB_Desc,MATCH($C15,DB_Key,0)),"** SKU not found **"))</f>
        <v/>
      </c>
      <c r="E15" s="36" t="str">
        <f aca="false">IF($C15="","",IFERROR(INDEX(DB_Cat,MATCH($C15,DB_Key,0)),""))</f>
        <v/>
      </c>
      <c r="F15" s="24" t="s">
        <v>67</v>
      </c>
      <c r="G15" s="25" t="n">
        <v>1</v>
      </c>
      <c r="H15" s="25" t="n">
        <f aca="false">IF(ISNUMBER(Default_Days),Default_Days,1)</f>
        <v>1</v>
      </c>
      <c r="I15" s="27" t="str">
        <f aca="false">IF($C15="","",IFERROR(INDEX(DB_Rate,MATCH($C15,DB_Key,0)),""))</f>
        <v/>
      </c>
      <c r="J15" s="37"/>
      <c r="K15" s="28" t="str">
        <f aca="false">IF($C15="","",IF(ISNUMBER($J15),$J15,IF(ISNUMBER($I15),$I15,"")))</f>
        <v/>
      </c>
      <c r="L15" s="26" t="n">
        <v>0</v>
      </c>
      <c r="M15" s="29" t="n">
        <f aca="false">IF(AND($B15="Yes",$C15&lt;&gt;"",ISNUMBER($K15)),IF($F15="One-Time",$G15*$K15*(1-$L15),$G15*$H15*$K15*(1-$L15)),0)</f>
        <v>0</v>
      </c>
      <c r="N15" s="38"/>
    </row>
    <row r="16" customFormat="false" ht="15" hidden="false" customHeight="true" outlineLevel="0" collapsed="false">
      <c r="B16" s="24" t="s">
        <v>65</v>
      </c>
      <c r="C16" s="24"/>
      <c r="D16" s="35" t="str">
        <f aca="false">IF($C16="","",IFERROR(INDEX(DB_Desc,MATCH($C16,DB_Key,0)),"** SKU not found **"))</f>
        <v/>
      </c>
      <c r="E16" s="36" t="str">
        <f aca="false">IF($C16="","",IFERROR(INDEX(DB_Cat,MATCH($C16,DB_Key,0)),""))</f>
        <v/>
      </c>
      <c r="F16" s="24" t="s">
        <v>67</v>
      </c>
      <c r="G16" s="25" t="n">
        <v>1</v>
      </c>
      <c r="H16" s="25" t="n">
        <f aca="false">IF(ISNUMBER(Default_Days),Default_Days,1)</f>
        <v>1</v>
      </c>
      <c r="I16" s="27" t="str">
        <f aca="false">IF($C16="","",IFERROR(INDEX(DB_Rate,MATCH($C16,DB_Key,0)),""))</f>
        <v/>
      </c>
      <c r="J16" s="37"/>
      <c r="K16" s="28" t="str">
        <f aca="false">IF($C16="","",IF(ISNUMBER($J16),$J16,IF(ISNUMBER($I16),$I16,"")))</f>
        <v/>
      </c>
      <c r="L16" s="26" t="n">
        <v>0</v>
      </c>
      <c r="M16" s="29" t="n">
        <f aca="false">IF(AND($B16="Yes",$C16&lt;&gt;"",ISNUMBER($K16)),IF($F16="One-Time",$G16*$K16*(1-$L16),$G16*$H16*$K16*(1-$L16)),0)</f>
        <v>0</v>
      </c>
      <c r="N16" s="38"/>
    </row>
    <row r="17" customFormat="false" ht="15" hidden="false" customHeight="true" outlineLevel="0" collapsed="false">
      <c r="B17" s="24" t="s">
        <v>65</v>
      </c>
      <c r="C17" s="24"/>
      <c r="D17" s="35" t="str">
        <f aca="false">IF($C17="","",IFERROR(INDEX(DB_Desc,MATCH($C17,DB_Key,0)),"** SKU not found **"))</f>
        <v/>
      </c>
      <c r="E17" s="36" t="str">
        <f aca="false">IF($C17="","",IFERROR(INDEX(DB_Cat,MATCH($C17,DB_Key,0)),""))</f>
        <v/>
      </c>
      <c r="F17" s="24" t="s">
        <v>67</v>
      </c>
      <c r="G17" s="25" t="n">
        <v>1</v>
      </c>
      <c r="H17" s="25" t="n">
        <f aca="false">IF(ISNUMBER(Default_Days),Default_Days,1)</f>
        <v>1</v>
      </c>
      <c r="I17" s="27" t="str">
        <f aca="false">IF($C17="","",IFERROR(INDEX(DB_Rate,MATCH($C17,DB_Key,0)),""))</f>
        <v/>
      </c>
      <c r="J17" s="37"/>
      <c r="K17" s="28" t="str">
        <f aca="false">IF($C17="","",IF(ISNUMBER($J17),$J17,IF(ISNUMBER($I17),$I17,"")))</f>
        <v/>
      </c>
      <c r="L17" s="26" t="n">
        <v>0</v>
      </c>
      <c r="M17" s="29" t="n">
        <f aca="false">IF(AND($B17="Yes",$C17&lt;&gt;"",ISNUMBER($K17)),IF($F17="One-Time",$G17*$K17*(1-$L17),$G17*$H17*$K17*(1-$L17)),0)</f>
        <v>0</v>
      </c>
      <c r="N17" s="38"/>
    </row>
    <row r="18" customFormat="false" ht="15" hidden="false" customHeight="true" outlineLevel="0" collapsed="false">
      <c r="B18" s="24" t="s">
        <v>65</v>
      </c>
      <c r="C18" s="24"/>
      <c r="D18" s="35" t="str">
        <f aca="false">IF($C18="","",IFERROR(INDEX(DB_Desc,MATCH($C18,DB_Key,0)),"** SKU not found **"))</f>
        <v/>
      </c>
      <c r="E18" s="36" t="str">
        <f aca="false">IF($C18="","",IFERROR(INDEX(DB_Cat,MATCH($C18,DB_Key,0)),""))</f>
        <v/>
      </c>
      <c r="F18" s="24" t="s">
        <v>67</v>
      </c>
      <c r="G18" s="25" t="n">
        <v>1</v>
      </c>
      <c r="H18" s="25" t="n">
        <f aca="false">IF(ISNUMBER(Default_Days),Default_Days,1)</f>
        <v>1</v>
      </c>
      <c r="I18" s="27" t="str">
        <f aca="false">IF($C18="","",IFERROR(INDEX(DB_Rate,MATCH($C18,DB_Key,0)),""))</f>
        <v/>
      </c>
      <c r="J18" s="37"/>
      <c r="K18" s="28" t="str">
        <f aca="false">IF($C18="","",IF(ISNUMBER($J18),$J18,IF(ISNUMBER($I18),$I18,"")))</f>
        <v/>
      </c>
      <c r="L18" s="26" t="n">
        <v>0</v>
      </c>
      <c r="M18" s="29" t="n">
        <f aca="false">IF(AND($B18="Yes",$C18&lt;&gt;"",ISNUMBER($K18)),IF($F18="One-Time",$G18*$K18*(1-$L18),$G18*$H18*$K18*(1-$L18)),0)</f>
        <v>0</v>
      </c>
      <c r="N18" s="38"/>
    </row>
    <row r="19" customFormat="false" ht="15" hidden="false" customHeight="true" outlineLevel="0" collapsed="false">
      <c r="B19" s="24" t="s">
        <v>65</v>
      </c>
      <c r="C19" s="24"/>
      <c r="D19" s="35" t="str">
        <f aca="false">IF($C19="","",IFERROR(INDEX(DB_Desc,MATCH($C19,DB_Key,0)),"** SKU not found **"))</f>
        <v/>
      </c>
      <c r="E19" s="36" t="str">
        <f aca="false">IF($C19="","",IFERROR(INDEX(DB_Cat,MATCH($C19,DB_Key,0)),""))</f>
        <v/>
      </c>
      <c r="F19" s="24" t="s">
        <v>67</v>
      </c>
      <c r="G19" s="25" t="n">
        <v>1</v>
      </c>
      <c r="H19" s="25" t="n">
        <f aca="false">IF(ISNUMBER(Default_Days),Default_Days,1)</f>
        <v>1</v>
      </c>
      <c r="I19" s="27" t="str">
        <f aca="false">IF($C19="","",IFERROR(INDEX(DB_Rate,MATCH($C19,DB_Key,0)),""))</f>
        <v/>
      </c>
      <c r="J19" s="37"/>
      <c r="K19" s="28" t="str">
        <f aca="false">IF($C19="","",IF(ISNUMBER($J19),$J19,IF(ISNUMBER($I19),$I19,"")))</f>
        <v/>
      </c>
      <c r="L19" s="26" t="n">
        <v>0</v>
      </c>
      <c r="M19" s="29" t="n">
        <f aca="false">IF(AND($B19="Yes",$C19&lt;&gt;"",ISNUMBER($K19)),IF($F19="One-Time",$G19*$K19*(1-$L19),$G19*$H19*$K19*(1-$L19)),0)</f>
        <v>0</v>
      </c>
      <c r="N19" s="38"/>
    </row>
    <row r="20" customFormat="false" ht="15" hidden="false" customHeight="true" outlineLevel="0" collapsed="false">
      <c r="B20" s="24" t="s">
        <v>65</v>
      </c>
      <c r="C20" s="24"/>
      <c r="D20" s="35" t="str">
        <f aca="false">IF($C20="","",IFERROR(INDEX(DB_Desc,MATCH($C20,DB_Key,0)),"** SKU not found **"))</f>
        <v/>
      </c>
      <c r="E20" s="36" t="str">
        <f aca="false">IF($C20="","",IFERROR(INDEX(DB_Cat,MATCH($C20,DB_Key,0)),""))</f>
        <v/>
      </c>
      <c r="F20" s="24" t="s">
        <v>67</v>
      </c>
      <c r="G20" s="25" t="n">
        <v>1</v>
      </c>
      <c r="H20" s="25" t="n">
        <f aca="false">IF(ISNUMBER(Default_Days),Default_Days,1)</f>
        <v>1</v>
      </c>
      <c r="I20" s="27" t="str">
        <f aca="false">IF($C20="","",IFERROR(INDEX(DB_Rate,MATCH($C20,DB_Key,0)),""))</f>
        <v/>
      </c>
      <c r="J20" s="37"/>
      <c r="K20" s="28" t="str">
        <f aca="false">IF($C20="","",IF(ISNUMBER($J20),$J20,IF(ISNUMBER($I20),$I20,"")))</f>
        <v/>
      </c>
      <c r="L20" s="26" t="n">
        <v>0</v>
      </c>
      <c r="M20" s="29" t="n">
        <f aca="false">IF(AND($B20="Yes",$C20&lt;&gt;"",ISNUMBER($K20)),IF($F20="One-Time",$G20*$K20*(1-$L20),$G20*$H20*$K20*(1-$L20)),0)</f>
        <v>0</v>
      </c>
      <c r="N20" s="38"/>
    </row>
    <row r="21" customFormat="false" ht="15" hidden="false" customHeight="true" outlineLevel="0" collapsed="false">
      <c r="B21" s="24" t="s">
        <v>65</v>
      </c>
      <c r="C21" s="24"/>
      <c r="D21" s="35" t="str">
        <f aca="false">IF($C21="","",IFERROR(INDEX(DB_Desc,MATCH($C21,DB_Key,0)),"** SKU not found **"))</f>
        <v/>
      </c>
      <c r="E21" s="36" t="str">
        <f aca="false">IF($C21="","",IFERROR(INDEX(DB_Cat,MATCH($C21,DB_Key,0)),""))</f>
        <v/>
      </c>
      <c r="F21" s="24" t="s">
        <v>67</v>
      </c>
      <c r="G21" s="25" t="n">
        <v>1</v>
      </c>
      <c r="H21" s="25" t="n">
        <f aca="false">IF(ISNUMBER(Default_Days),Default_Days,1)</f>
        <v>1</v>
      </c>
      <c r="I21" s="27" t="str">
        <f aca="false">IF($C21="","",IFERROR(INDEX(DB_Rate,MATCH($C21,DB_Key,0)),""))</f>
        <v/>
      </c>
      <c r="J21" s="37"/>
      <c r="K21" s="28" t="str">
        <f aca="false">IF($C21="","",IF(ISNUMBER($J21),$J21,IF(ISNUMBER($I21),$I21,"")))</f>
        <v/>
      </c>
      <c r="L21" s="26" t="n">
        <v>0</v>
      </c>
      <c r="M21" s="29" t="n">
        <f aca="false">IF(AND($B21="Yes",$C21&lt;&gt;"",ISNUMBER($K21)),IF($F21="One-Time",$G21*$K21*(1-$L21),$G21*$H21*$K21*(1-$L21)),0)</f>
        <v>0</v>
      </c>
      <c r="N21" s="38"/>
    </row>
    <row r="22" customFormat="false" ht="15" hidden="false" customHeight="true" outlineLevel="0" collapsed="false">
      <c r="B22" s="24" t="s">
        <v>65</v>
      </c>
      <c r="C22" s="24"/>
      <c r="D22" s="35" t="str">
        <f aca="false">IF($C22="","",IFERROR(INDEX(DB_Desc,MATCH($C22,DB_Key,0)),"** SKU not found **"))</f>
        <v/>
      </c>
      <c r="E22" s="36" t="str">
        <f aca="false">IF($C22="","",IFERROR(INDEX(DB_Cat,MATCH($C22,DB_Key,0)),""))</f>
        <v/>
      </c>
      <c r="F22" s="24" t="s">
        <v>67</v>
      </c>
      <c r="G22" s="25" t="n">
        <v>1</v>
      </c>
      <c r="H22" s="25" t="n">
        <f aca="false">IF(ISNUMBER(Default_Days),Default_Days,1)</f>
        <v>1</v>
      </c>
      <c r="I22" s="27" t="str">
        <f aca="false">IF($C22="","",IFERROR(INDEX(DB_Rate,MATCH($C22,DB_Key,0)),""))</f>
        <v/>
      </c>
      <c r="J22" s="37"/>
      <c r="K22" s="28" t="str">
        <f aca="false">IF($C22="","",IF(ISNUMBER($J22),$J22,IF(ISNUMBER($I22),$I22,"")))</f>
        <v/>
      </c>
      <c r="L22" s="26" t="n">
        <v>0</v>
      </c>
      <c r="M22" s="29" t="n">
        <f aca="false">IF(AND($B22="Yes",$C22&lt;&gt;"",ISNUMBER($K22)),IF($F22="One-Time",$G22*$K22*(1-$L22),$G22*$H22*$K22*(1-$L22)),0)</f>
        <v>0</v>
      </c>
      <c r="N22" s="38"/>
    </row>
    <row r="23" customFormat="false" ht="15" hidden="false" customHeight="true" outlineLevel="0" collapsed="false">
      <c r="B23" s="24" t="s">
        <v>65</v>
      </c>
      <c r="C23" s="24"/>
      <c r="D23" s="35" t="str">
        <f aca="false">IF($C23="","",IFERROR(INDEX(DB_Desc,MATCH($C23,DB_Key,0)),"** SKU not found **"))</f>
        <v/>
      </c>
      <c r="E23" s="36" t="str">
        <f aca="false">IF($C23="","",IFERROR(INDEX(DB_Cat,MATCH($C23,DB_Key,0)),""))</f>
        <v/>
      </c>
      <c r="F23" s="24" t="s">
        <v>67</v>
      </c>
      <c r="G23" s="25" t="n">
        <v>1</v>
      </c>
      <c r="H23" s="25" t="n">
        <f aca="false">IF(ISNUMBER(Default_Days),Default_Days,1)</f>
        <v>1</v>
      </c>
      <c r="I23" s="27" t="str">
        <f aca="false">IF($C23="","",IFERROR(INDEX(DB_Rate,MATCH($C23,DB_Key,0)),""))</f>
        <v/>
      </c>
      <c r="J23" s="37"/>
      <c r="K23" s="28" t="str">
        <f aca="false">IF($C23="","",IF(ISNUMBER($J23),$J23,IF(ISNUMBER($I23),$I23,"")))</f>
        <v/>
      </c>
      <c r="L23" s="26" t="n">
        <v>0</v>
      </c>
      <c r="M23" s="29" t="n">
        <f aca="false">IF(AND($B23="Yes",$C23&lt;&gt;"",ISNUMBER($K23)),IF($F23="One-Time",$G23*$K23*(1-$L23),$G23*$H23*$K23*(1-$L23)),0)</f>
        <v>0</v>
      </c>
      <c r="N23" s="38"/>
    </row>
    <row r="24" customFormat="false" ht="15" hidden="false" customHeight="true" outlineLevel="0" collapsed="false">
      <c r="B24" s="24" t="s">
        <v>65</v>
      </c>
      <c r="C24" s="24"/>
      <c r="D24" s="35" t="str">
        <f aca="false">IF($C24="","",IFERROR(INDEX(DB_Desc,MATCH($C24,DB_Key,0)),"** SKU not found **"))</f>
        <v/>
      </c>
      <c r="E24" s="36" t="str">
        <f aca="false">IF($C24="","",IFERROR(INDEX(DB_Cat,MATCH($C24,DB_Key,0)),""))</f>
        <v/>
      </c>
      <c r="F24" s="24" t="s">
        <v>67</v>
      </c>
      <c r="G24" s="25" t="n">
        <v>1</v>
      </c>
      <c r="H24" s="25" t="n">
        <f aca="false">IF(ISNUMBER(Default_Days),Default_Days,1)</f>
        <v>1</v>
      </c>
      <c r="I24" s="27" t="str">
        <f aca="false">IF($C24="","",IFERROR(INDEX(DB_Rate,MATCH($C24,DB_Key,0)),""))</f>
        <v/>
      </c>
      <c r="J24" s="37"/>
      <c r="K24" s="28" t="str">
        <f aca="false">IF($C24="","",IF(ISNUMBER($J24),$J24,IF(ISNUMBER($I24),$I24,"")))</f>
        <v/>
      </c>
      <c r="L24" s="26" t="n">
        <v>0</v>
      </c>
      <c r="M24" s="29" t="n">
        <f aca="false">IF(AND($B24="Yes",$C24&lt;&gt;"",ISNUMBER($K24)),IF($F24="One-Time",$G24*$K24*(1-$L24),$G24*$H24*$K24*(1-$L24)),0)</f>
        <v>0</v>
      </c>
      <c r="N24" s="38"/>
    </row>
    <row r="25" customFormat="false" ht="15" hidden="false" customHeight="true" outlineLevel="0" collapsed="false">
      <c r="B25" s="24" t="s">
        <v>65</v>
      </c>
      <c r="C25" s="24"/>
      <c r="D25" s="35" t="str">
        <f aca="false">IF($C25="","",IFERROR(INDEX(DB_Desc,MATCH($C25,DB_Key,0)),"** SKU not found **"))</f>
        <v/>
      </c>
      <c r="E25" s="36" t="str">
        <f aca="false">IF($C25="","",IFERROR(INDEX(DB_Cat,MATCH($C25,DB_Key,0)),""))</f>
        <v/>
      </c>
      <c r="F25" s="24" t="s">
        <v>67</v>
      </c>
      <c r="G25" s="25" t="n">
        <v>1</v>
      </c>
      <c r="H25" s="25" t="n">
        <f aca="false">IF(ISNUMBER(Default_Days),Default_Days,1)</f>
        <v>1</v>
      </c>
      <c r="I25" s="27" t="str">
        <f aca="false">IF($C25="","",IFERROR(INDEX(DB_Rate,MATCH($C25,DB_Key,0)),""))</f>
        <v/>
      </c>
      <c r="J25" s="37"/>
      <c r="K25" s="28" t="str">
        <f aca="false">IF($C25="","",IF(ISNUMBER($J25),$J25,IF(ISNUMBER($I25),$I25,"")))</f>
        <v/>
      </c>
      <c r="L25" s="26" t="n">
        <v>0</v>
      </c>
      <c r="M25" s="29" t="n">
        <f aca="false">IF(AND($B25="Yes",$C25&lt;&gt;"",ISNUMBER($K25)),IF($F25="One-Time",$G25*$K25*(1-$L25),$G25*$H25*$K25*(1-$L25)),0)</f>
        <v>0</v>
      </c>
      <c r="N25" s="38"/>
    </row>
    <row r="26" customFormat="false" ht="15" hidden="false" customHeight="true" outlineLevel="0" collapsed="false">
      <c r="B26" s="24" t="s">
        <v>65</v>
      </c>
      <c r="C26" s="24"/>
      <c r="D26" s="35" t="str">
        <f aca="false">IF($C26="","",IFERROR(INDEX(DB_Desc,MATCH($C26,DB_Key,0)),"** SKU not found **"))</f>
        <v/>
      </c>
      <c r="E26" s="36" t="str">
        <f aca="false">IF($C26="","",IFERROR(INDEX(DB_Cat,MATCH($C26,DB_Key,0)),""))</f>
        <v/>
      </c>
      <c r="F26" s="24" t="s">
        <v>67</v>
      </c>
      <c r="G26" s="25" t="n">
        <v>1</v>
      </c>
      <c r="H26" s="25" t="n">
        <f aca="false">IF(ISNUMBER(Default_Days),Default_Days,1)</f>
        <v>1</v>
      </c>
      <c r="I26" s="27" t="str">
        <f aca="false">IF($C26="","",IFERROR(INDEX(DB_Rate,MATCH($C26,DB_Key,0)),""))</f>
        <v/>
      </c>
      <c r="J26" s="37"/>
      <c r="K26" s="28" t="str">
        <f aca="false">IF($C26="","",IF(ISNUMBER($J26),$J26,IF(ISNUMBER($I26),$I26,"")))</f>
        <v/>
      </c>
      <c r="L26" s="26" t="n">
        <v>0</v>
      </c>
      <c r="M26" s="29" t="n">
        <f aca="false">IF(AND($B26="Yes",$C26&lt;&gt;"",ISNUMBER($K26)),IF($F26="One-Time",$G26*$K26*(1-$L26),$G26*$H26*$K26*(1-$L26)),0)</f>
        <v>0</v>
      </c>
      <c r="N26" s="38"/>
    </row>
    <row r="27" customFormat="false" ht="15" hidden="false" customHeight="true" outlineLevel="0" collapsed="false">
      <c r="B27" s="24" t="s">
        <v>65</v>
      </c>
      <c r="C27" s="24"/>
      <c r="D27" s="35" t="str">
        <f aca="false">IF($C27="","",IFERROR(INDEX(DB_Desc,MATCH($C27,DB_Key,0)),"** SKU not found **"))</f>
        <v/>
      </c>
      <c r="E27" s="36" t="str">
        <f aca="false">IF($C27="","",IFERROR(INDEX(DB_Cat,MATCH($C27,DB_Key,0)),""))</f>
        <v/>
      </c>
      <c r="F27" s="24" t="s">
        <v>67</v>
      </c>
      <c r="G27" s="25" t="n">
        <v>1</v>
      </c>
      <c r="H27" s="25" t="n">
        <f aca="false">IF(ISNUMBER(Default_Days),Default_Days,1)</f>
        <v>1</v>
      </c>
      <c r="I27" s="27" t="str">
        <f aca="false">IF($C27="","",IFERROR(INDEX(DB_Rate,MATCH($C27,DB_Key,0)),""))</f>
        <v/>
      </c>
      <c r="J27" s="37"/>
      <c r="K27" s="28" t="str">
        <f aca="false">IF($C27="","",IF(ISNUMBER($J27),$J27,IF(ISNUMBER($I27),$I27,"")))</f>
        <v/>
      </c>
      <c r="L27" s="26" t="n">
        <v>0</v>
      </c>
      <c r="M27" s="29" t="n">
        <f aca="false">IF(AND($B27="Yes",$C27&lt;&gt;"",ISNUMBER($K27)),IF($F27="One-Time",$G27*$K27*(1-$L27),$G27*$H27*$K27*(1-$L27)),0)</f>
        <v>0</v>
      </c>
      <c r="N27" s="38"/>
    </row>
    <row r="28" customFormat="false" ht="15" hidden="false" customHeight="true" outlineLevel="0" collapsed="false">
      <c r="B28" s="24" t="s">
        <v>65</v>
      </c>
      <c r="C28" s="24"/>
      <c r="D28" s="35" t="str">
        <f aca="false">IF($C28="","",IFERROR(INDEX(DB_Desc,MATCH($C28,DB_Key,0)),"** SKU not found **"))</f>
        <v/>
      </c>
      <c r="E28" s="36" t="str">
        <f aca="false">IF($C28="","",IFERROR(INDEX(DB_Cat,MATCH($C28,DB_Key,0)),""))</f>
        <v/>
      </c>
      <c r="F28" s="24" t="s">
        <v>67</v>
      </c>
      <c r="G28" s="25" t="n">
        <v>1</v>
      </c>
      <c r="H28" s="25" t="n">
        <f aca="false">IF(ISNUMBER(Default_Days),Default_Days,1)</f>
        <v>1</v>
      </c>
      <c r="I28" s="27" t="str">
        <f aca="false">IF($C28="","",IFERROR(INDEX(DB_Rate,MATCH($C28,DB_Key,0)),""))</f>
        <v/>
      </c>
      <c r="J28" s="37"/>
      <c r="K28" s="28" t="str">
        <f aca="false">IF($C28="","",IF(ISNUMBER($J28),$J28,IF(ISNUMBER($I28),$I28,"")))</f>
        <v/>
      </c>
      <c r="L28" s="26" t="n">
        <v>0</v>
      </c>
      <c r="M28" s="29" t="n">
        <f aca="false">IF(AND($B28="Yes",$C28&lt;&gt;"",ISNUMBER($K28)),IF($F28="One-Time",$G28*$K28*(1-$L28),$G28*$H28*$K28*(1-$L28)),0)</f>
        <v>0</v>
      </c>
      <c r="N28" s="38"/>
    </row>
    <row r="29" customFormat="false" ht="15" hidden="false" customHeight="true" outlineLevel="0" collapsed="false">
      <c r="B29" s="24" t="s">
        <v>65</v>
      </c>
      <c r="C29" s="24"/>
      <c r="D29" s="35" t="str">
        <f aca="false">IF($C29="","",IFERROR(INDEX(DB_Desc,MATCH($C29,DB_Key,0)),"** SKU not found **"))</f>
        <v/>
      </c>
      <c r="E29" s="36" t="str">
        <f aca="false">IF($C29="","",IFERROR(INDEX(DB_Cat,MATCH($C29,DB_Key,0)),""))</f>
        <v/>
      </c>
      <c r="F29" s="24" t="s">
        <v>67</v>
      </c>
      <c r="G29" s="25" t="n">
        <v>1</v>
      </c>
      <c r="H29" s="25" t="n">
        <f aca="false">IF(ISNUMBER(Default_Days),Default_Days,1)</f>
        <v>1</v>
      </c>
      <c r="I29" s="27" t="str">
        <f aca="false">IF($C29="","",IFERROR(INDEX(DB_Rate,MATCH($C29,DB_Key,0)),""))</f>
        <v/>
      </c>
      <c r="J29" s="37"/>
      <c r="K29" s="28" t="str">
        <f aca="false">IF($C29="","",IF(ISNUMBER($J29),$J29,IF(ISNUMBER($I29),$I29,"")))</f>
        <v/>
      </c>
      <c r="L29" s="26" t="n">
        <v>0</v>
      </c>
      <c r="M29" s="29" t="n">
        <f aca="false">IF(AND($B29="Yes",$C29&lt;&gt;"",ISNUMBER($K29)),IF($F29="One-Time",$G29*$K29*(1-$L29),$G29*$H29*$K29*(1-$L29)),0)</f>
        <v>0</v>
      </c>
      <c r="N29" s="38"/>
    </row>
    <row r="30" customFormat="false" ht="15" hidden="false" customHeight="true" outlineLevel="0" collapsed="false">
      <c r="B30" s="24" t="s">
        <v>65</v>
      </c>
      <c r="C30" s="24"/>
      <c r="D30" s="35" t="str">
        <f aca="false">IF($C30="","",IFERROR(INDEX(DB_Desc,MATCH($C30,DB_Key,0)),"** SKU not found **"))</f>
        <v/>
      </c>
      <c r="E30" s="36" t="str">
        <f aca="false">IF($C30="","",IFERROR(INDEX(DB_Cat,MATCH($C30,DB_Key,0)),""))</f>
        <v/>
      </c>
      <c r="F30" s="24" t="s">
        <v>67</v>
      </c>
      <c r="G30" s="25" t="n">
        <v>1</v>
      </c>
      <c r="H30" s="25" t="n">
        <f aca="false">IF(ISNUMBER(Default_Days),Default_Days,1)</f>
        <v>1</v>
      </c>
      <c r="I30" s="27" t="str">
        <f aca="false">IF($C30="","",IFERROR(INDEX(DB_Rate,MATCH($C30,DB_Key,0)),""))</f>
        <v/>
      </c>
      <c r="J30" s="37"/>
      <c r="K30" s="28" t="str">
        <f aca="false">IF($C30="","",IF(ISNUMBER($J30),$J30,IF(ISNUMBER($I30),$I30,"")))</f>
        <v/>
      </c>
      <c r="L30" s="26" t="n">
        <v>0</v>
      </c>
      <c r="M30" s="29" t="n">
        <f aca="false">IF(AND($B30="Yes",$C30&lt;&gt;"",ISNUMBER($K30)),IF($F30="One-Time",$G30*$K30*(1-$L30),$G30*$H30*$K30*(1-$L30)),0)</f>
        <v>0</v>
      </c>
      <c r="N30" s="38"/>
    </row>
    <row r="31" customFormat="false" ht="15" hidden="false" customHeight="true" outlineLevel="0" collapsed="false">
      <c r="B31" s="24" t="s">
        <v>65</v>
      </c>
      <c r="C31" s="24"/>
      <c r="D31" s="35" t="str">
        <f aca="false">IF($C31="","",IFERROR(INDEX(DB_Desc,MATCH($C31,DB_Key,0)),"** SKU not found **"))</f>
        <v/>
      </c>
      <c r="E31" s="36" t="str">
        <f aca="false">IF($C31="","",IFERROR(INDEX(DB_Cat,MATCH($C31,DB_Key,0)),""))</f>
        <v/>
      </c>
      <c r="F31" s="24" t="s">
        <v>67</v>
      </c>
      <c r="G31" s="25" t="n">
        <v>1</v>
      </c>
      <c r="H31" s="25" t="n">
        <f aca="false">IF(ISNUMBER(Default_Days),Default_Days,1)</f>
        <v>1</v>
      </c>
      <c r="I31" s="27" t="str">
        <f aca="false">IF($C31="","",IFERROR(INDEX(DB_Rate,MATCH($C31,DB_Key,0)),""))</f>
        <v/>
      </c>
      <c r="J31" s="37"/>
      <c r="K31" s="28" t="str">
        <f aca="false">IF($C31="","",IF(ISNUMBER($J31),$J31,IF(ISNUMBER($I31),$I31,"")))</f>
        <v/>
      </c>
      <c r="L31" s="26" t="n">
        <v>0</v>
      </c>
      <c r="M31" s="29" t="n">
        <f aca="false">IF(AND($B31="Yes",$C31&lt;&gt;"",ISNUMBER($K31)),IF($F31="One-Time",$G31*$K31*(1-$L31),$G31*$H31*$K31*(1-$L31)),0)</f>
        <v>0</v>
      </c>
      <c r="N31" s="38"/>
    </row>
    <row r="32" customFormat="false" ht="15" hidden="false" customHeight="true" outlineLevel="0" collapsed="false">
      <c r="B32" s="24" t="s">
        <v>65</v>
      </c>
      <c r="C32" s="24"/>
      <c r="D32" s="35" t="str">
        <f aca="false">IF($C32="","",IFERROR(INDEX(DB_Desc,MATCH($C32,DB_Key,0)),"** SKU not found **"))</f>
        <v/>
      </c>
      <c r="E32" s="36" t="str">
        <f aca="false">IF($C32="","",IFERROR(INDEX(DB_Cat,MATCH($C32,DB_Key,0)),""))</f>
        <v/>
      </c>
      <c r="F32" s="24" t="s">
        <v>67</v>
      </c>
      <c r="G32" s="25" t="n">
        <v>1</v>
      </c>
      <c r="H32" s="25" t="n">
        <f aca="false">IF(ISNUMBER(Default_Days),Default_Days,1)</f>
        <v>1</v>
      </c>
      <c r="I32" s="27" t="str">
        <f aca="false">IF($C32="","",IFERROR(INDEX(DB_Rate,MATCH($C32,DB_Key,0)),""))</f>
        <v/>
      </c>
      <c r="J32" s="37"/>
      <c r="K32" s="28" t="str">
        <f aca="false">IF($C32="","",IF(ISNUMBER($J32),$J32,IF(ISNUMBER($I32),$I32,"")))</f>
        <v/>
      </c>
      <c r="L32" s="26" t="n">
        <v>0</v>
      </c>
      <c r="M32" s="29" t="n">
        <f aca="false">IF(AND($B32="Yes",$C32&lt;&gt;"",ISNUMBER($K32)),IF($F32="One-Time",$G32*$K32*(1-$L32),$G32*$H32*$K32*(1-$L32)),0)</f>
        <v>0</v>
      </c>
      <c r="N32" s="38"/>
    </row>
    <row r="33" customFormat="false" ht="15" hidden="false" customHeight="true" outlineLevel="0" collapsed="false">
      <c r="B33" s="24" t="s">
        <v>65</v>
      </c>
      <c r="C33" s="24"/>
      <c r="D33" s="35" t="str">
        <f aca="false">IF($C33="","",IFERROR(INDEX(DB_Desc,MATCH($C33,DB_Key,0)),"** SKU not found **"))</f>
        <v/>
      </c>
      <c r="E33" s="36" t="str">
        <f aca="false">IF($C33="","",IFERROR(INDEX(DB_Cat,MATCH($C33,DB_Key,0)),""))</f>
        <v/>
      </c>
      <c r="F33" s="24" t="s">
        <v>67</v>
      </c>
      <c r="G33" s="25" t="n">
        <v>1</v>
      </c>
      <c r="H33" s="25" t="n">
        <f aca="false">IF(ISNUMBER(Default_Days),Default_Days,1)</f>
        <v>1</v>
      </c>
      <c r="I33" s="27" t="str">
        <f aca="false">IF($C33="","",IFERROR(INDEX(DB_Rate,MATCH($C33,DB_Key,0)),""))</f>
        <v/>
      </c>
      <c r="J33" s="37"/>
      <c r="K33" s="28" t="str">
        <f aca="false">IF($C33="","",IF(ISNUMBER($J33),$J33,IF(ISNUMBER($I33),$I33,"")))</f>
        <v/>
      </c>
      <c r="L33" s="26" t="n">
        <v>0</v>
      </c>
      <c r="M33" s="29" t="n">
        <f aca="false">IF(AND($B33="Yes",$C33&lt;&gt;"",ISNUMBER($K33)),IF($F33="One-Time",$G33*$K33*(1-$L33),$G33*$H33*$K33*(1-$L33)),0)</f>
        <v>0</v>
      </c>
      <c r="N33" s="38"/>
    </row>
    <row r="35" customFormat="false" ht="15" hidden="false" customHeight="true" outlineLevel="0" collapsed="false">
      <c r="L35" s="33" t="s">
        <v>70</v>
      </c>
      <c r="M35" s="34" t="n">
        <f aca="false">SUM(M6:M33)</f>
        <v>0</v>
      </c>
    </row>
  </sheetData>
  <autoFilter ref="B5:N33"/>
  <mergeCells count="2">
    <mergeCell ref="B2:N2"/>
    <mergeCell ref="B3:N3"/>
  </mergeCells>
  <conditionalFormatting sqref="K6:K33">
    <cfRule type="expression" priority="2" aboveAverage="0" equalAverage="0" bottom="0" percent="0" rank="0" text="" dxfId="0">
      <formula>AND($B6="Yes",$C6&lt;&gt;"",NOT(ISNUMBER($K6)))</formula>
    </cfRule>
  </conditionalFormatting>
  <conditionalFormatting sqref="D6:D33">
    <cfRule type="expression" priority="3" aboveAverage="0" equalAverage="0" bottom="0" percent="0" rank="0" text="" dxfId="0">
      <formula>ISNUMBER(SEARCH("not found",$D6))</formula>
    </cfRule>
  </conditionalFormatting>
  <dataValidations count="6">
    <dataValidation allowBlank="true" errorStyle="stop" operator="between" showDropDown="false" showErrorMessage="false" showInputMessage="false" sqref="B6:B33" type="list">
      <formula1>YesNoList</formula1>
      <formula2>0</formula2>
    </dataValidation>
    <dataValidation allowBlank="true" error="Pick a SKU from the list." errorStyle="stop" errorTitle="Unknown SKU" operator="between" showDropDown="false" showErrorMessage="false" showInputMessage="false" sqref="C6:C33" type="list">
      <formula1>DB_Key</formula1>
      <formula2>0</formula2>
    </dataValidation>
    <dataValidation allowBlank="true" errorStyle="stop" operator="between" showDropDown="false" showErrorMessage="false" showInputMessage="false" sqref="F6:F33" type="list">
      <formula1>MethodList</formula1>
      <formula2>0</formula2>
    </dataValidation>
    <dataValidation allowBlank="true" errorStyle="stop" operator="between" showDropDown="false" showErrorMessage="false" showInputMessage="false" sqref="G6:G33" type="whole">
      <formula1>0</formula1>
      <formula2>100000</formula2>
    </dataValidation>
    <dataValidation allowBlank="true" errorStyle="stop" operator="between" showDropDown="false" showErrorMessage="false" showInputMessage="false" sqref="H6:H33" type="whole">
      <formula1>0</formula1>
      <formula2>3650</formula2>
    </dataValidation>
    <dataValidation allowBlank="true" error="Discount 0%-100%" errorStyle="stop" errorTitle="Invalid" operator="between" showDropDown="false" showErrorMessage="false" showInputMessage="false" sqref="L6:L33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Rental Quoting Tool — Accessories Services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2707A"/>
    <pageSetUpPr fitToPage="true"/>
  </sheetPr>
  <dimension ref="B2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6" min="3" style="1" width="16"/>
  </cols>
  <sheetData>
    <row r="2" customFormat="false" ht="30" hidden="false" customHeight="true" outlineLevel="0" collapsed="false">
      <c r="B2" s="2" t="s">
        <v>71</v>
      </c>
      <c r="C2" s="2"/>
      <c r="D2" s="2"/>
      <c r="E2" s="2"/>
      <c r="F2" s="2"/>
    </row>
    <row r="3" customFormat="false" ht="15" hidden="false" customHeight="true" outlineLevel="0" collapsed="false">
      <c r="B3" s="19" t="s">
        <v>72</v>
      </c>
      <c r="C3" s="19"/>
      <c r="D3" s="19"/>
      <c r="E3" s="19"/>
      <c r="F3" s="19"/>
    </row>
    <row r="5" customFormat="false" ht="15" hidden="false" customHeight="true" outlineLevel="0" collapsed="false">
      <c r="B5" s="39" t="str">
        <f aca="false">IF(Quote_Number="","Quote #: (enter on Start Quote)","Quote #: "&amp;Quote_Number)</f>
        <v>Quote #: (enter on Start Quote)</v>
      </c>
    </row>
    <row r="6" customFormat="false" ht="15" hidden="false" customHeight="true" outlineLevel="0" collapsed="false">
      <c r="B6" s="40" t="str">
        <f aca="false">IF(Cust_Company="","Customer: -","Customer: "&amp;Cust_Company)</f>
        <v>Customer: -</v>
      </c>
    </row>
    <row r="8" customFormat="false" ht="15" hidden="false" customHeight="true" outlineLevel="0" collapsed="false">
      <c r="B8" s="41" t="s">
        <v>73</v>
      </c>
      <c r="C8" s="42" t="s">
        <v>74</v>
      </c>
      <c r="D8" s="42" t="s">
        <v>40</v>
      </c>
      <c r="E8" s="42" t="s">
        <v>45</v>
      </c>
      <c r="F8" s="42" t="s">
        <v>63</v>
      </c>
    </row>
    <row r="9" customFormat="false" ht="15" hidden="false" customHeight="true" outlineLevel="0" collapsed="false">
      <c r="B9" s="43" t="str">
        <f aca="false">IF(ISNUMBER(MATCH(1,CfgRank,0)),INDEX('Guided Configurator'!$P:$P,INDEX(CfgRankRow,MATCH(1,CfgRank,0))),"")</f>
        <v/>
      </c>
      <c r="C9" s="44" t="str">
        <f aca="false">IF(ISNUMBER(MATCH(1,CfgRank,0)),INDEX('Guided Configurator'!$O:$O,INDEX(CfgRankRow,MATCH(1,CfgRank,0))),"")</f>
        <v/>
      </c>
      <c r="D9" s="45" t="str">
        <f aca="false">IF(ISNUMBER(MATCH(1,CfgRank,0)),INDEX('Guided Configurator'!$H:$H,INDEX(CfgRankRow,MATCH(1,CfgRank,0))),"")</f>
        <v/>
      </c>
      <c r="E9" s="46" t="str">
        <f aca="false">IF(ISNUMBER(MATCH(1,CfgRank,0)),INDEX('Guided Configurator'!$M:$M,INDEX(CfgRankRow,MATCH(1,CfgRank,0))),"")</f>
        <v/>
      </c>
      <c r="F9" s="47" t="str">
        <f aca="false">IF(ISNUMBER(MATCH(1,CfgRank,0)),INDEX('Guided Configurator'!$N:$N,INDEX(CfgRankRow,MATCH(1,CfgRank,0))),"")</f>
        <v/>
      </c>
    </row>
    <row r="10" customFormat="false" ht="15" hidden="false" customHeight="true" outlineLevel="0" collapsed="false">
      <c r="B10" s="48" t="str">
        <f aca="false">IF(ISNUMBER(MATCH(2,CfgRank,0)),INDEX('Guided Configurator'!$P:$P,INDEX(CfgRankRow,MATCH(2,CfgRank,0))),"")</f>
        <v/>
      </c>
      <c r="C10" s="49" t="str">
        <f aca="false">IF(ISNUMBER(MATCH(2,CfgRank,0)),INDEX('Guided Configurator'!$O:$O,INDEX(CfgRankRow,MATCH(2,CfgRank,0))),"")</f>
        <v/>
      </c>
      <c r="D10" s="50" t="str">
        <f aca="false">IF(ISNUMBER(MATCH(2,CfgRank,0)),INDEX('Guided Configurator'!$H:$H,INDEX(CfgRankRow,MATCH(2,CfgRank,0))),"")</f>
        <v/>
      </c>
      <c r="E10" s="51" t="str">
        <f aca="false">IF(ISNUMBER(MATCH(2,CfgRank,0)),INDEX('Guided Configurator'!$M:$M,INDEX(CfgRankRow,MATCH(2,CfgRank,0))),"")</f>
        <v/>
      </c>
      <c r="F10" s="52" t="str">
        <f aca="false">IF(ISNUMBER(MATCH(2,CfgRank,0)),INDEX('Guided Configurator'!$N:$N,INDEX(CfgRankRow,MATCH(2,CfgRank,0))),"")</f>
        <v/>
      </c>
    </row>
    <row r="11" customFormat="false" ht="21.75" hidden="false" customHeight="true" outlineLevel="0" collapsed="false">
      <c r="B11" s="43" t="str">
        <f aca="false">IF(ISNUMBER(MATCH(3,CfgRank,0)),INDEX('Guided Configurator'!$P:$P,INDEX(CfgRankRow,MATCH(3,CfgRank,0))),"")</f>
        <v/>
      </c>
      <c r="C11" s="44" t="str">
        <f aca="false">IF(ISNUMBER(MATCH(3,CfgRank,0)),INDEX('Guided Configurator'!$O:$O,INDEX(CfgRankRow,MATCH(3,CfgRank,0))),"")</f>
        <v/>
      </c>
      <c r="D11" s="45" t="str">
        <f aca="false">IF(ISNUMBER(MATCH(3,CfgRank,0)),INDEX('Guided Configurator'!$H:$H,INDEX(CfgRankRow,MATCH(3,CfgRank,0))),"")</f>
        <v/>
      </c>
      <c r="E11" s="46" t="str">
        <f aca="false">IF(ISNUMBER(MATCH(3,CfgRank,0)),INDEX('Guided Configurator'!$M:$M,INDEX(CfgRankRow,MATCH(3,CfgRank,0))),"")</f>
        <v/>
      </c>
      <c r="F11" s="47" t="str">
        <f aca="false">IF(ISNUMBER(MATCH(3,CfgRank,0)),INDEX('Guided Configurator'!$N:$N,INDEX(CfgRankRow,MATCH(3,CfgRank,0))),"")</f>
        <v/>
      </c>
    </row>
    <row r="12" customFormat="false" ht="15" hidden="false" customHeight="true" outlineLevel="0" collapsed="false">
      <c r="B12" s="48" t="str">
        <f aca="false">IF(ISNUMBER(MATCH(4,CfgRank,0)),INDEX('Guided Configurator'!$P:$P,INDEX(CfgRankRow,MATCH(4,CfgRank,0))),"")</f>
        <v/>
      </c>
      <c r="C12" s="49" t="str">
        <f aca="false">IF(ISNUMBER(MATCH(4,CfgRank,0)),INDEX('Guided Configurator'!$O:$O,INDEX(CfgRankRow,MATCH(4,CfgRank,0))),"")</f>
        <v/>
      </c>
      <c r="D12" s="50" t="str">
        <f aca="false">IF(ISNUMBER(MATCH(4,CfgRank,0)),INDEX('Guided Configurator'!$H:$H,INDEX(CfgRankRow,MATCH(4,CfgRank,0))),"")</f>
        <v/>
      </c>
      <c r="E12" s="51" t="str">
        <f aca="false">IF(ISNUMBER(MATCH(4,CfgRank,0)),INDEX('Guided Configurator'!$M:$M,INDEX(CfgRankRow,MATCH(4,CfgRank,0))),"")</f>
        <v/>
      </c>
      <c r="F12" s="52" t="str">
        <f aca="false">IF(ISNUMBER(MATCH(4,CfgRank,0)),INDEX('Guided Configurator'!$N:$N,INDEX(CfgRankRow,MATCH(4,CfgRank,0))),"")</f>
        <v/>
      </c>
    </row>
    <row r="13" customFormat="false" ht="15" hidden="false" customHeight="true" outlineLevel="0" collapsed="false">
      <c r="B13" s="43" t="str">
        <f aca="false">IF(ISNUMBER(MATCH(5,CfgRank,0)),INDEX('Guided Configurator'!$P:$P,INDEX(CfgRankRow,MATCH(5,CfgRank,0))),"")</f>
        <v/>
      </c>
      <c r="C13" s="44" t="str">
        <f aca="false">IF(ISNUMBER(MATCH(5,CfgRank,0)),INDEX('Guided Configurator'!$O:$O,INDEX(CfgRankRow,MATCH(5,CfgRank,0))),"")</f>
        <v/>
      </c>
      <c r="D13" s="45" t="str">
        <f aca="false">IF(ISNUMBER(MATCH(5,CfgRank,0)),INDEX('Guided Configurator'!$H:$H,INDEX(CfgRankRow,MATCH(5,CfgRank,0))),"")</f>
        <v/>
      </c>
      <c r="E13" s="46" t="str">
        <f aca="false">IF(ISNUMBER(MATCH(5,CfgRank,0)),INDEX('Guided Configurator'!$M:$M,INDEX(CfgRankRow,MATCH(5,CfgRank,0))),"")</f>
        <v/>
      </c>
      <c r="F13" s="47" t="str">
        <f aca="false">IF(ISNUMBER(MATCH(5,CfgRank,0)),INDEX('Guided Configurator'!$N:$N,INDEX(CfgRankRow,MATCH(5,CfgRank,0))),"")</f>
        <v/>
      </c>
    </row>
    <row r="14" customFormat="false" ht="15" hidden="false" customHeight="true" outlineLevel="0" collapsed="false">
      <c r="B14" s="48" t="str">
        <f aca="false">IF(ISNUMBER(MATCH(6,CfgRank,0)),INDEX('Guided Configurator'!$P:$P,INDEX(CfgRankRow,MATCH(6,CfgRank,0))),"")</f>
        <v/>
      </c>
      <c r="C14" s="49" t="str">
        <f aca="false">IF(ISNUMBER(MATCH(6,CfgRank,0)),INDEX('Guided Configurator'!$O:$O,INDEX(CfgRankRow,MATCH(6,CfgRank,0))),"")</f>
        <v/>
      </c>
      <c r="D14" s="50" t="str">
        <f aca="false">IF(ISNUMBER(MATCH(6,CfgRank,0)),INDEX('Guided Configurator'!$H:$H,INDEX(CfgRankRow,MATCH(6,CfgRank,0))),"")</f>
        <v/>
      </c>
      <c r="E14" s="51" t="str">
        <f aca="false">IF(ISNUMBER(MATCH(6,CfgRank,0)),INDEX('Guided Configurator'!$M:$M,INDEX(CfgRankRow,MATCH(6,CfgRank,0))),"")</f>
        <v/>
      </c>
      <c r="F14" s="52" t="str">
        <f aca="false">IF(ISNUMBER(MATCH(6,CfgRank,0)),INDEX('Guided Configurator'!$N:$N,INDEX(CfgRankRow,MATCH(6,CfgRank,0))),"")</f>
        <v/>
      </c>
    </row>
    <row r="15" customFormat="false" ht="15" hidden="false" customHeight="true" outlineLevel="0" collapsed="false">
      <c r="B15" s="43" t="str">
        <f aca="false">IF(ISNUMBER(MATCH(7,CfgRank,0)),INDEX('Guided Configurator'!$P:$P,INDEX(CfgRankRow,MATCH(7,CfgRank,0))),"")</f>
        <v/>
      </c>
      <c r="C15" s="44" t="str">
        <f aca="false">IF(ISNUMBER(MATCH(7,CfgRank,0)),INDEX('Guided Configurator'!$O:$O,INDEX(CfgRankRow,MATCH(7,CfgRank,0))),"")</f>
        <v/>
      </c>
      <c r="D15" s="45" t="str">
        <f aca="false">IF(ISNUMBER(MATCH(7,CfgRank,0)),INDEX('Guided Configurator'!$H:$H,INDEX(CfgRankRow,MATCH(7,CfgRank,0))),"")</f>
        <v/>
      </c>
      <c r="E15" s="46" t="str">
        <f aca="false">IF(ISNUMBER(MATCH(7,CfgRank,0)),INDEX('Guided Configurator'!$M:$M,INDEX(CfgRankRow,MATCH(7,CfgRank,0))),"")</f>
        <v/>
      </c>
      <c r="F15" s="47" t="str">
        <f aca="false">IF(ISNUMBER(MATCH(7,CfgRank,0)),INDEX('Guided Configurator'!$N:$N,INDEX(CfgRankRow,MATCH(7,CfgRank,0))),"")</f>
        <v/>
      </c>
    </row>
    <row r="16" customFormat="false" ht="15" hidden="false" customHeight="true" outlineLevel="0" collapsed="false">
      <c r="B16" s="48" t="str">
        <f aca="false">IF(ISNUMBER(MATCH(8,CfgRank,0)),INDEX('Guided Configurator'!$P:$P,INDEX(CfgRankRow,MATCH(8,CfgRank,0))),"")</f>
        <v/>
      </c>
      <c r="C16" s="49" t="str">
        <f aca="false">IF(ISNUMBER(MATCH(8,CfgRank,0)),INDEX('Guided Configurator'!$O:$O,INDEX(CfgRankRow,MATCH(8,CfgRank,0))),"")</f>
        <v/>
      </c>
      <c r="D16" s="50" t="str">
        <f aca="false">IF(ISNUMBER(MATCH(8,CfgRank,0)),INDEX('Guided Configurator'!$H:$H,INDEX(CfgRankRow,MATCH(8,CfgRank,0))),"")</f>
        <v/>
      </c>
      <c r="E16" s="51" t="str">
        <f aca="false">IF(ISNUMBER(MATCH(8,CfgRank,0)),INDEX('Guided Configurator'!$M:$M,INDEX(CfgRankRow,MATCH(8,CfgRank,0))),"")</f>
        <v/>
      </c>
      <c r="F16" s="52" t="str">
        <f aca="false">IF(ISNUMBER(MATCH(8,CfgRank,0)),INDEX('Guided Configurator'!$N:$N,INDEX(CfgRankRow,MATCH(8,CfgRank,0))),"")</f>
        <v/>
      </c>
    </row>
    <row r="17" customFormat="false" ht="15" hidden="false" customHeight="true" outlineLevel="0" collapsed="false">
      <c r="B17" s="43" t="str">
        <f aca="false">IF(ISNUMBER(MATCH(9,CfgRank,0)),INDEX('Guided Configurator'!$P:$P,INDEX(CfgRankRow,MATCH(9,CfgRank,0))),"")</f>
        <v/>
      </c>
      <c r="C17" s="44" t="str">
        <f aca="false">IF(ISNUMBER(MATCH(9,CfgRank,0)),INDEX('Guided Configurator'!$O:$O,INDEX(CfgRankRow,MATCH(9,CfgRank,0))),"")</f>
        <v/>
      </c>
      <c r="D17" s="45" t="str">
        <f aca="false">IF(ISNUMBER(MATCH(9,CfgRank,0)),INDEX('Guided Configurator'!$H:$H,INDEX(CfgRankRow,MATCH(9,CfgRank,0))),"")</f>
        <v/>
      </c>
      <c r="E17" s="46" t="str">
        <f aca="false">IF(ISNUMBER(MATCH(9,CfgRank,0)),INDEX('Guided Configurator'!$M:$M,INDEX(CfgRankRow,MATCH(9,CfgRank,0))),"")</f>
        <v/>
      </c>
      <c r="F17" s="47" t="str">
        <f aca="false">IF(ISNUMBER(MATCH(9,CfgRank,0)),INDEX('Guided Configurator'!$N:$N,INDEX(CfgRankRow,MATCH(9,CfgRank,0))),"")</f>
        <v/>
      </c>
    </row>
    <row r="18" customFormat="false" ht="15" hidden="false" customHeight="true" outlineLevel="0" collapsed="false">
      <c r="B18" s="48" t="str">
        <f aca="false">IF(ISNUMBER(MATCH(10,CfgRank,0)),INDEX('Guided Configurator'!$P:$P,INDEX(CfgRankRow,MATCH(10,CfgRank,0))),"")</f>
        <v/>
      </c>
      <c r="C18" s="49" t="str">
        <f aca="false">IF(ISNUMBER(MATCH(10,CfgRank,0)),INDEX('Guided Configurator'!$O:$O,INDEX(CfgRankRow,MATCH(10,CfgRank,0))),"")</f>
        <v/>
      </c>
      <c r="D18" s="50" t="str">
        <f aca="false">IF(ISNUMBER(MATCH(10,CfgRank,0)),INDEX('Guided Configurator'!$H:$H,INDEX(CfgRankRow,MATCH(10,CfgRank,0))),"")</f>
        <v/>
      </c>
      <c r="E18" s="51" t="str">
        <f aca="false">IF(ISNUMBER(MATCH(10,CfgRank,0)),INDEX('Guided Configurator'!$M:$M,INDEX(CfgRankRow,MATCH(10,CfgRank,0))),"")</f>
        <v/>
      </c>
      <c r="F18" s="52" t="str">
        <f aca="false">IF(ISNUMBER(MATCH(10,CfgRank,0)),INDEX('Guided Configurator'!$N:$N,INDEX(CfgRankRow,MATCH(10,CfgRank,0))),"")</f>
        <v/>
      </c>
    </row>
    <row r="19" customFormat="false" ht="15" hidden="false" customHeight="true" outlineLevel="0" collapsed="false">
      <c r="E19" s="53" t="s">
        <v>52</v>
      </c>
      <c r="F19" s="29" t="n">
        <f aca="false">Config_Subtotal</f>
        <v>0</v>
      </c>
    </row>
    <row r="21" customFormat="false" ht="15" hidden="false" customHeight="true" outlineLevel="0" collapsed="false">
      <c r="B21" s="39" t="s">
        <v>24</v>
      </c>
      <c r="E21" s="53" t="s">
        <v>26</v>
      </c>
      <c r="F21" s="54" t="n">
        <f aca="false">Acc_Subtotal</f>
        <v>0</v>
      </c>
    </row>
    <row r="23" customFormat="false" ht="15" hidden="false" customHeight="true" outlineLevel="0" collapsed="false">
      <c r="E23" s="33" t="s">
        <v>26</v>
      </c>
      <c r="F23" s="34" t="n">
        <f aca="false">Quote_Subtotal</f>
        <v>0</v>
      </c>
    </row>
    <row r="24" customFormat="false" ht="15" hidden="false" customHeight="true" outlineLevel="0" collapsed="false">
      <c r="E24" s="55" t="s">
        <v>23</v>
      </c>
      <c r="F24" s="56" t="n">
        <f aca="false">Freight</f>
        <v>0</v>
      </c>
    </row>
    <row r="25" customFormat="false" ht="15" hidden="false" customHeight="true" outlineLevel="0" collapsed="false">
      <c r="E25" s="55" t="s">
        <v>75</v>
      </c>
      <c r="F25" s="56" t="n">
        <f aca="false">Misc_Charge</f>
        <v>0</v>
      </c>
    </row>
    <row r="26" customFormat="false" ht="15" hidden="false" customHeight="true" outlineLevel="0" collapsed="false">
      <c r="E26" s="55" t="str">
        <f aca="false">CONCATENATE("Tax (",TEXT(Tax_Rate,"0.0%"),")")</f>
        <v>Tax (0.0%)</v>
      </c>
      <c r="F26" s="56" t="n">
        <f aca="false">ROUND(Quote_Subtotal*Tax_Rate,2)</f>
        <v>0</v>
      </c>
    </row>
    <row r="27" customFormat="false" ht="15" hidden="false" customHeight="true" outlineLevel="0" collapsed="false">
      <c r="D27" s="57" t="s">
        <v>76</v>
      </c>
      <c r="E27" s="57"/>
      <c r="F27" s="58" t="n">
        <f aca="false">Quote_GrandTotal</f>
        <v>0</v>
      </c>
    </row>
  </sheetData>
  <mergeCells count="3">
    <mergeCell ref="B2:F2"/>
    <mergeCell ref="B3:F3"/>
    <mergeCell ref="D27:E27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Rental Quoting Tool — Quote Summary (Internal)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2707A"/>
    <pageSetUpPr fitToPage="true"/>
  </sheetPr>
  <dimension ref="B2:H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3" min="3" style="1" width="44"/>
    <col collapsed="false" customWidth="true" hidden="false" outlineLevel="0" max="4" min="4" style="1" width="8"/>
    <col collapsed="false" customWidth="true" hidden="false" outlineLevel="0" max="5" min="5" style="1" width="9"/>
    <col collapsed="false" customWidth="true" hidden="false" outlineLevel="0" max="6" min="6" style="1" width="11"/>
    <col collapsed="false" customWidth="true" hidden="false" outlineLevel="0" max="7" min="7" style="1" width="8"/>
    <col collapsed="false" customWidth="true" hidden="false" outlineLevel="0" max="8" min="8" style="1" width="13"/>
  </cols>
  <sheetData>
    <row r="2" customFormat="false" ht="33.75" hidden="false" customHeight="true" outlineLevel="0" collapsed="false">
      <c r="B2" s="59" t="s">
        <v>77</v>
      </c>
      <c r="C2" s="59"/>
      <c r="D2" s="59"/>
      <c r="E2" s="59"/>
      <c r="F2" s="59"/>
      <c r="G2" s="59"/>
      <c r="H2" s="59"/>
    </row>
    <row r="3" customFormat="false" ht="15" hidden="false" customHeight="true" outlineLevel="0" collapsed="false">
      <c r="B3" s="3" t="s">
        <v>78</v>
      </c>
      <c r="C3" s="3"/>
      <c r="D3" s="3"/>
      <c r="E3" s="3"/>
      <c r="F3" s="3"/>
      <c r="G3" s="3"/>
      <c r="H3" s="3"/>
    </row>
    <row r="5" customFormat="false" ht="15" hidden="false" customHeight="true" outlineLevel="0" collapsed="false">
      <c r="B5" s="60" t="s">
        <v>6</v>
      </c>
      <c r="C5" s="40" t="str">
        <f aca="false">IF(Quote_Number="","",Quote_Number)</f>
        <v/>
      </c>
      <c r="F5" s="60" t="s">
        <v>79</v>
      </c>
      <c r="G5" s="40" t="str">
        <f aca="false">IF(Cust_Company="","",Cust_Company)</f>
        <v/>
      </c>
    </row>
    <row r="6" customFormat="false" ht="15" hidden="false" customHeight="true" outlineLevel="0" collapsed="false">
      <c r="B6" s="60" t="s">
        <v>8</v>
      </c>
      <c r="C6" s="40" t="str">
        <f aca="false">IF(ISNUMBER(Quote_Date),TEXT(Quote_Date,"mmm d, yyyy"),"")</f>
        <v/>
      </c>
      <c r="F6" s="60" t="s">
        <v>80</v>
      </c>
      <c r="G6" s="40" t="str">
        <f aca="false">IF(Cust_Contact="","",Cust_Contact)</f>
        <v/>
      </c>
    </row>
    <row r="7" customFormat="false" ht="15" hidden="false" customHeight="true" outlineLevel="0" collapsed="false">
      <c r="B7" s="60" t="s">
        <v>10</v>
      </c>
      <c r="C7" s="40" t="str">
        <f aca="false">IF(ISNUMBER(Valid_Through),TEXT(Valid_Through,"mmm d, yyyy"),"")</f>
        <v/>
      </c>
      <c r="F7" s="60" t="s">
        <v>81</v>
      </c>
      <c r="G7" s="40" t="str">
        <f aca="false">IF(AND(Cust_Email="",Cust_Phone=""),"",Cust_Email&amp;IF(AND(Cust_Email&lt;&gt;"",Cust_Phone&lt;&gt;"")," | ","")&amp;Cust_Phone)</f>
        <v/>
      </c>
    </row>
    <row r="8" customFormat="false" ht="15" hidden="false" customHeight="true" outlineLevel="0" collapsed="false">
      <c r="B8" s="60" t="s">
        <v>12</v>
      </c>
      <c r="C8" s="40" t="str">
        <f aca="false">IF(Salesperson="","",Salesperson)</f>
        <v/>
      </c>
      <c r="F8" s="60" t="s">
        <v>18</v>
      </c>
      <c r="G8" s="40" t="str">
        <f aca="false">IF(Cust_Project="","",Cust_Project)</f>
        <v/>
      </c>
    </row>
    <row r="10" customFormat="false" ht="15" hidden="false" customHeight="true" outlineLevel="0" collapsed="false">
      <c r="B10" s="61" t="str">
        <f aca="false">IF(AND(ISNUMBER(Rental_Start),ISNUMBER(Rental_End)),"Rental Period:  "&amp;TEXT(Rental_Start,"mmm d, yyyy")&amp;"  to  "&amp;TEXT(Rental_End,"mmm d, yyyy")&amp;"   ("&amp;Default_Days&amp;" days)","")</f>
        <v/>
      </c>
      <c r="C10" s="61"/>
      <c r="D10" s="61"/>
      <c r="E10" s="61"/>
      <c r="F10" s="61"/>
      <c r="G10" s="61"/>
      <c r="H10" s="61"/>
    </row>
    <row r="12" customFormat="false" ht="15" hidden="false" customHeight="true" outlineLevel="0" collapsed="false">
      <c r="B12" s="62" t="s">
        <v>82</v>
      </c>
      <c r="C12" s="62"/>
      <c r="D12" s="62"/>
      <c r="E12" s="62"/>
      <c r="F12" s="62"/>
      <c r="G12" s="62"/>
      <c r="H12" s="62"/>
    </row>
    <row r="13" customFormat="false" ht="15" hidden="false" customHeight="true" outlineLevel="0" collapsed="false">
      <c r="B13" s="63" t="s">
        <v>47</v>
      </c>
      <c r="C13" s="63" t="s">
        <v>73</v>
      </c>
      <c r="D13" s="63" t="s">
        <v>40</v>
      </c>
      <c r="E13" s="63" t="s">
        <v>41</v>
      </c>
      <c r="F13" s="63" t="s">
        <v>45</v>
      </c>
      <c r="G13" s="63" t="s">
        <v>83</v>
      </c>
      <c r="H13" s="63" t="s">
        <v>84</v>
      </c>
    </row>
    <row r="14" customFormat="false" ht="15" hidden="false" customHeight="true" outlineLevel="0" collapsed="false">
      <c r="B14" s="64" t="str">
        <f aca="false">IF(ISNUMBER(MATCH(1,CfgRank,0)),INDEX('Guided Configurator'!$O:$O,INDEX(CfgRankRow,MATCH(1,CfgRank,0))),"")</f>
        <v/>
      </c>
      <c r="C14" s="65" t="str">
        <f aca="false">IF(ISNUMBER(MATCH(1,CfgRank,0)),INDEX('Guided Configurator'!$P:$P,INDEX(CfgRankRow,MATCH(1,CfgRank,0))),"")</f>
        <v/>
      </c>
      <c r="D14" s="45" t="str">
        <f aca="false">IF(ISNUMBER(MATCH(1,CfgRank,0)),INDEX('Guided Configurator'!$H:$H,INDEX(CfgRankRow,MATCH(1,CfgRank,0))),"")</f>
        <v/>
      </c>
      <c r="E14" s="45" t="str">
        <f aca="false">IF(ISNUMBER(MATCH(1,CfgRank,0)),INDEX('Guided Configurator'!$I:$I,INDEX(CfgRankRow,MATCH(1,CfgRank,0))),"")</f>
        <v/>
      </c>
      <c r="F14" s="46" t="str">
        <f aca="false">IF(ISNUMBER(MATCH(1,CfgRank,0)),INDEX('Guided Configurator'!$M:$M,INDEX(CfgRankRow,MATCH(1,CfgRank,0))),"")</f>
        <v/>
      </c>
      <c r="G14" s="66" t="str">
        <f aca="false">IF(ISNUMBER(MATCH(1,CfgRank,0)),INDEX('Guided Configurator'!$J:$J,INDEX(CfgRankRow,MATCH(1,CfgRank,0))),"")</f>
        <v/>
      </c>
      <c r="H14" s="67" t="str">
        <f aca="false">IF(ISNUMBER(MATCH(1,CfgRank,0)),INDEX('Guided Configurator'!$N:$N,INDEX(CfgRankRow,MATCH(1,CfgRank,0))),"")</f>
        <v/>
      </c>
    </row>
    <row r="15" customFormat="false" ht="15" hidden="false" customHeight="true" outlineLevel="0" collapsed="false">
      <c r="B15" s="68" t="str">
        <f aca="false">IF(ISNUMBER(MATCH(2,CfgRank,0)),INDEX('Guided Configurator'!$O:$O,INDEX(CfgRankRow,MATCH(2,CfgRank,0))),"")</f>
        <v/>
      </c>
      <c r="C15" s="69" t="str">
        <f aca="false">IF(ISNUMBER(MATCH(2,CfgRank,0)),INDEX('Guided Configurator'!$P:$P,INDEX(CfgRankRow,MATCH(2,CfgRank,0))),"")</f>
        <v/>
      </c>
      <c r="D15" s="50" t="str">
        <f aca="false">IF(ISNUMBER(MATCH(2,CfgRank,0)),INDEX('Guided Configurator'!$H:$H,INDEX(CfgRankRow,MATCH(2,CfgRank,0))),"")</f>
        <v/>
      </c>
      <c r="E15" s="50" t="str">
        <f aca="false">IF(ISNUMBER(MATCH(2,CfgRank,0)),INDEX('Guided Configurator'!$I:$I,INDEX(CfgRankRow,MATCH(2,CfgRank,0))),"")</f>
        <v/>
      </c>
      <c r="F15" s="51" t="str">
        <f aca="false">IF(ISNUMBER(MATCH(2,CfgRank,0)),INDEX('Guided Configurator'!$M:$M,INDEX(CfgRankRow,MATCH(2,CfgRank,0))),"")</f>
        <v/>
      </c>
      <c r="G15" s="70" t="str">
        <f aca="false">IF(ISNUMBER(MATCH(2,CfgRank,0)),INDEX('Guided Configurator'!$J:$J,INDEX(CfgRankRow,MATCH(2,CfgRank,0))),"")</f>
        <v/>
      </c>
      <c r="H15" s="71" t="str">
        <f aca="false">IF(ISNUMBER(MATCH(2,CfgRank,0)),INDEX('Guided Configurator'!$N:$N,INDEX(CfgRankRow,MATCH(2,CfgRank,0))),"")</f>
        <v/>
      </c>
    </row>
    <row r="16" customFormat="false" ht="15" hidden="false" customHeight="true" outlineLevel="0" collapsed="false">
      <c r="B16" s="64" t="str">
        <f aca="false">IF(ISNUMBER(MATCH(3,CfgRank,0)),INDEX('Guided Configurator'!$O:$O,INDEX(CfgRankRow,MATCH(3,CfgRank,0))),"")</f>
        <v/>
      </c>
      <c r="C16" s="65" t="str">
        <f aca="false">IF(ISNUMBER(MATCH(3,CfgRank,0)),INDEX('Guided Configurator'!$P:$P,INDEX(CfgRankRow,MATCH(3,CfgRank,0))),"")</f>
        <v/>
      </c>
      <c r="D16" s="45" t="str">
        <f aca="false">IF(ISNUMBER(MATCH(3,CfgRank,0)),INDEX('Guided Configurator'!$H:$H,INDEX(CfgRankRow,MATCH(3,CfgRank,0))),"")</f>
        <v/>
      </c>
      <c r="E16" s="45" t="str">
        <f aca="false">IF(ISNUMBER(MATCH(3,CfgRank,0)),INDEX('Guided Configurator'!$I:$I,INDEX(CfgRankRow,MATCH(3,CfgRank,0))),"")</f>
        <v/>
      </c>
      <c r="F16" s="46" t="str">
        <f aca="false">IF(ISNUMBER(MATCH(3,CfgRank,0)),INDEX('Guided Configurator'!$M:$M,INDEX(CfgRankRow,MATCH(3,CfgRank,0))),"")</f>
        <v/>
      </c>
      <c r="G16" s="66" t="str">
        <f aca="false">IF(ISNUMBER(MATCH(3,CfgRank,0)),INDEX('Guided Configurator'!$J:$J,INDEX(CfgRankRow,MATCH(3,CfgRank,0))),"")</f>
        <v/>
      </c>
      <c r="H16" s="67" t="str">
        <f aca="false">IF(ISNUMBER(MATCH(3,CfgRank,0)),INDEX('Guided Configurator'!$N:$N,INDEX(CfgRankRow,MATCH(3,CfgRank,0))),"")</f>
        <v/>
      </c>
    </row>
    <row r="17" customFormat="false" ht="15" hidden="false" customHeight="true" outlineLevel="0" collapsed="false">
      <c r="B17" s="68" t="str">
        <f aca="false">IF(ISNUMBER(MATCH(4,CfgRank,0)),INDEX('Guided Configurator'!$O:$O,INDEX(CfgRankRow,MATCH(4,CfgRank,0))),"")</f>
        <v/>
      </c>
      <c r="C17" s="69" t="str">
        <f aca="false">IF(ISNUMBER(MATCH(4,CfgRank,0)),INDEX('Guided Configurator'!$P:$P,INDEX(CfgRankRow,MATCH(4,CfgRank,0))),"")</f>
        <v/>
      </c>
      <c r="D17" s="50" t="str">
        <f aca="false">IF(ISNUMBER(MATCH(4,CfgRank,0)),INDEX('Guided Configurator'!$H:$H,INDEX(CfgRankRow,MATCH(4,CfgRank,0))),"")</f>
        <v/>
      </c>
      <c r="E17" s="50" t="str">
        <f aca="false">IF(ISNUMBER(MATCH(4,CfgRank,0)),INDEX('Guided Configurator'!$I:$I,INDEX(CfgRankRow,MATCH(4,CfgRank,0))),"")</f>
        <v/>
      </c>
      <c r="F17" s="51" t="str">
        <f aca="false">IF(ISNUMBER(MATCH(4,CfgRank,0)),INDEX('Guided Configurator'!$M:$M,INDEX(CfgRankRow,MATCH(4,CfgRank,0))),"")</f>
        <v/>
      </c>
      <c r="G17" s="70" t="str">
        <f aca="false">IF(ISNUMBER(MATCH(4,CfgRank,0)),INDEX('Guided Configurator'!$J:$J,INDEX(CfgRankRow,MATCH(4,CfgRank,0))),"")</f>
        <v/>
      </c>
      <c r="H17" s="71" t="str">
        <f aca="false">IF(ISNUMBER(MATCH(4,CfgRank,0)),INDEX('Guided Configurator'!$N:$N,INDEX(CfgRankRow,MATCH(4,CfgRank,0))),"")</f>
        <v/>
      </c>
    </row>
    <row r="18" customFormat="false" ht="15" hidden="false" customHeight="true" outlineLevel="0" collapsed="false">
      <c r="B18" s="64" t="str">
        <f aca="false">IF(ISNUMBER(MATCH(5,CfgRank,0)),INDEX('Guided Configurator'!$O:$O,INDEX(CfgRankRow,MATCH(5,CfgRank,0))),"")</f>
        <v/>
      </c>
      <c r="C18" s="65" t="str">
        <f aca="false">IF(ISNUMBER(MATCH(5,CfgRank,0)),INDEX('Guided Configurator'!$P:$P,INDEX(CfgRankRow,MATCH(5,CfgRank,0))),"")</f>
        <v/>
      </c>
      <c r="D18" s="45" t="str">
        <f aca="false">IF(ISNUMBER(MATCH(5,CfgRank,0)),INDEX('Guided Configurator'!$H:$H,INDEX(CfgRankRow,MATCH(5,CfgRank,0))),"")</f>
        <v/>
      </c>
      <c r="E18" s="45" t="str">
        <f aca="false">IF(ISNUMBER(MATCH(5,CfgRank,0)),INDEX('Guided Configurator'!$I:$I,INDEX(CfgRankRow,MATCH(5,CfgRank,0))),"")</f>
        <v/>
      </c>
      <c r="F18" s="46" t="str">
        <f aca="false">IF(ISNUMBER(MATCH(5,CfgRank,0)),INDEX('Guided Configurator'!$M:$M,INDEX(CfgRankRow,MATCH(5,CfgRank,0))),"")</f>
        <v/>
      </c>
      <c r="G18" s="66" t="str">
        <f aca="false">IF(ISNUMBER(MATCH(5,CfgRank,0)),INDEX('Guided Configurator'!$J:$J,INDEX(CfgRankRow,MATCH(5,CfgRank,0))),"")</f>
        <v/>
      </c>
      <c r="H18" s="67" t="str">
        <f aca="false">IF(ISNUMBER(MATCH(5,CfgRank,0)),INDEX('Guided Configurator'!$N:$N,INDEX(CfgRankRow,MATCH(5,CfgRank,0))),"")</f>
        <v/>
      </c>
    </row>
    <row r="19" customFormat="false" ht="15" hidden="false" customHeight="true" outlineLevel="0" collapsed="false">
      <c r="B19" s="68" t="str">
        <f aca="false">IF(ISNUMBER(MATCH(6,CfgRank,0)),INDEX('Guided Configurator'!$O:$O,INDEX(CfgRankRow,MATCH(6,CfgRank,0))),"")</f>
        <v/>
      </c>
      <c r="C19" s="69" t="str">
        <f aca="false">IF(ISNUMBER(MATCH(6,CfgRank,0)),INDEX('Guided Configurator'!$P:$P,INDEX(CfgRankRow,MATCH(6,CfgRank,0))),"")</f>
        <v/>
      </c>
      <c r="D19" s="50" t="str">
        <f aca="false">IF(ISNUMBER(MATCH(6,CfgRank,0)),INDEX('Guided Configurator'!$H:$H,INDEX(CfgRankRow,MATCH(6,CfgRank,0))),"")</f>
        <v/>
      </c>
      <c r="E19" s="50" t="str">
        <f aca="false">IF(ISNUMBER(MATCH(6,CfgRank,0)),INDEX('Guided Configurator'!$I:$I,INDEX(CfgRankRow,MATCH(6,CfgRank,0))),"")</f>
        <v/>
      </c>
      <c r="F19" s="51" t="str">
        <f aca="false">IF(ISNUMBER(MATCH(6,CfgRank,0)),INDEX('Guided Configurator'!$M:$M,INDEX(CfgRankRow,MATCH(6,CfgRank,0))),"")</f>
        <v/>
      </c>
      <c r="G19" s="70" t="str">
        <f aca="false">IF(ISNUMBER(MATCH(6,CfgRank,0)),INDEX('Guided Configurator'!$J:$J,INDEX(CfgRankRow,MATCH(6,CfgRank,0))),"")</f>
        <v/>
      </c>
      <c r="H19" s="71" t="str">
        <f aca="false">IF(ISNUMBER(MATCH(6,CfgRank,0)),INDEX('Guided Configurator'!$N:$N,INDEX(CfgRankRow,MATCH(6,CfgRank,0))),"")</f>
        <v/>
      </c>
    </row>
    <row r="20" customFormat="false" ht="15" hidden="false" customHeight="true" outlineLevel="0" collapsed="false">
      <c r="B20" s="64" t="str">
        <f aca="false">IF(ISNUMBER(MATCH(7,CfgRank,0)),INDEX('Guided Configurator'!$O:$O,INDEX(CfgRankRow,MATCH(7,CfgRank,0))),"")</f>
        <v/>
      </c>
      <c r="C20" s="65" t="str">
        <f aca="false">IF(ISNUMBER(MATCH(7,CfgRank,0)),INDEX('Guided Configurator'!$P:$P,INDEX(CfgRankRow,MATCH(7,CfgRank,0))),"")</f>
        <v/>
      </c>
      <c r="D20" s="45" t="str">
        <f aca="false">IF(ISNUMBER(MATCH(7,CfgRank,0)),INDEX('Guided Configurator'!$H:$H,INDEX(CfgRankRow,MATCH(7,CfgRank,0))),"")</f>
        <v/>
      </c>
      <c r="E20" s="45" t="str">
        <f aca="false">IF(ISNUMBER(MATCH(7,CfgRank,0)),INDEX('Guided Configurator'!$I:$I,INDEX(CfgRankRow,MATCH(7,CfgRank,0))),"")</f>
        <v/>
      </c>
      <c r="F20" s="46" t="str">
        <f aca="false">IF(ISNUMBER(MATCH(7,CfgRank,0)),INDEX('Guided Configurator'!$M:$M,INDEX(CfgRankRow,MATCH(7,CfgRank,0))),"")</f>
        <v/>
      </c>
      <c r="G20" s="66" t="str">
        <f aca="false">IF(ISNUMBER(MATCH(7,CfgRank,0)),INDEX('Guided Configurator'!$J:$J,INDEX(CfgRankRow,MATCH(7,CfgRank,0))),"")</f>
        <v/>
      </c>
      <c r="H20" s="67" t="str">
        <f aca="false">IF(ISNUMBER(MATCH(7,CfgRank,0)),INDEX('Guided Configurator'!$N:$N,INDEX(CfgRankRow,MATCH(7,CfgRank,0))),"")</f>
        <v/>
      </c>
    </row>
    <row r="21" customFormat="false" ht="15" hidden="false" customHeight="true" outlineLevel="0" collapsed="false">
      <c r="B21" s="68" t="str">
        <f aca="false">IF(ISNUMBER(MATCH(8,CfgRank,0)),INDEX('Guided Configurator'!$O:$O,INDEX(CfgRankRow,MATCH(8,CfgRank,0))),"")</f>
        <v/>
      </c>
      <c r="C21" s="69" t="str">
        <f aca="false">IF(ISNUMBER(MATCH(8,CfgRank,0)),INDEX('Guided Configurator'!$P:$P,INDEX(CfgRankRow,MATCH(8,CfgRank,0))),"")</f>
        <v/>
      </c>
      <c r="D21" s="50" t="str">
        <f aca="false">IF(ISNUMBER(MATCH(8,CfgRank,0)),INDEX('Guided Configurator'!$H:$H,INDEX(CfgRankRow,MATCH(8,CfgRank,0))),"")</f>
        <v/>
      </c>
      <c r="E21" s="50" t="str">
        <f aca="false">IF(ISNUMBER(MATCH(8,CfgRank,0)),INDEX('Guided Configurator'!$I:$I,INDEX(CfgRankRow,MATCH(8,CfgRank,0))),"")</f>
        <v/>
      </c>
      <c r="F21" s="51" t="str">
        <f aca="false">IF(ISNUMBER(MATCH(8,CfgRank,0)),INDEX('Guided Configurator'!$M:$M,INDEX(CfgRankRow,MATCH(8,CfgRank,0))),"")</f>
        <v/>
      </c>
      <c r="G21" s="70" t="str">
        <f aca="false">IF(ISNUMBER(MATCH(8,CfgRank,0)),INDEX('Guided Configurator'!$J:$J,INDEX(CfgRankRow,MATCH(8,CfgRank,0))),"")</f>
        <v/>
      </c>
      <c r="H21" s="71" t="str">
        <f aca="false">IF(ISNUMBER(MATCH(8,CfgRank,0)),INDEX('Guided Configurator'!$N:$N,INDEX(CfgRankRow,MATCH(8,CfgRank,0))),"")</f>
        <v/>
      </c>
    </row>
    <row r="22" customFormat="false" ht="15" hidden="false" customHeight="true" outlineLevel="0" collapsed="false">
      <c r="B22" s="64" t="str">
        <f aca="false">IF(ISNUMBER(MATCH(9,CfgRank,0)),INDEX('Guided Configurator'!$O:$O,INDEX(CfgRankRow,MATCH(9,CfgRank,0))),"")</f>
        <v/>
      </c>
      <c r="C22" s="65" t="str">
        <f aca="false">IF(ISNUMBER(MATCH(9,CfgRank,0)),INDEX('Guided Configurator'!$P:$P,INDEX(CfgRankRow,MATCH(9,CfgRank,0))),"")</f>
        <v/>
      </c>
      <c r="D22" s="45" t="str">
        <f aca="false">IF(ISNUMBER(MATCH(9,CfgRank,0)),INDEX('Guided Configurator'!$H:$H,INDEX(CfgRankRow,MATCH(9,CfgRank,0))),"")</f>
        <v/>
      </c>
      <c r="E22" s="45" t="str">
        <f aca="false">IF(ISNUMBER(MATCH(9,CfgRank,0)),INDEX('Guided Configurator'!$I:$I,INDEX(CfgRankRow,MATCH(9,CfgRank,0))),"")</f>
        <v/>
      </c>
      <c r="F22" s="46" t="str">
        <f aca="false">IF(ISNUMBER(MATCH(9,CfgRank,0)),INDEX('Guided Configurator'!$M:$M,INDEX(CfgRankRow,MATCH(9,CfgRank,0))),"")</f>
        <v/>
      </c>
      <c r="G22" s="66" t="str">
        <f aca="false">IF(ISNUMBER(MATCH(9,CfgRank,0)),INDEX('Guided Configurator'!$J:$J,INDEX(CfgRankRow,MATCH(9,CfgRank,0))),"")</f>
        <v/>
      </c>
      <c r="H22" s="67" t="str">
        <f aca="false">IF(ISNUMBER(MATCH(9,CfgRank,0)),INDEX('Guided Configurator'!$N:$N,INDEX(CfgRankRow,MATCH(9,CfgRank,0))),"")</f>
        <v/>
      </c>
    </row>
    <row r="23" customFormat="false" ht="15" hidden="false" customHeight="true" outlineLevel="0" collapsed="false">
      <c r="B23" s="68" t="str">
        <f aca="false">IF(ISNUMBER(MATCH(10,CfgRank,0)),INDEX('Guided Configurator'!$O:$O,INDEX(CfgRankRow,MATCH(10,CfgRank,0))),"")</f>
        <v/>
      </c>
      <c r="C23" s="69" t="str">
        <f aca="false">IF(ISNUMBER(MATCH(10,CfgRank,0)),INDEX('Guided Configurator'!$P:$P,INDEX(CfgRankRow,MATCH(10,CfgRank,0))),"")</f>
        <v/>
      </c>
      <c r="D23" s="50" t="str">
        <f aca="false">IF(ISNUMBER(MATCH(10,CfgRank,0)),INDEX('Guided Configurator'!$H:$H,INDEX(CfgRankRow,MATCH(10,CfgRank,0))),"")</f>
        <v/>
      </c>
      <c r="E23" s="50" t="str">
        <f aca="false">IF(ISNUMBER(MATCH(10,CfgRank,0)),INDEX('Guided Configurator'!$I:$I,INDEX(CfgRankRow,MATCH(10,CfgRank,0))),"")</f>
        <v/>
      </c>
      <c r="F23" s="51" t="str">
        <f aca="false">IF(ISNUMBER(MATCH(10,CfgRank,0)),INDEX('Guided Configurator'!$M:$M,INDEX(CfgRankRow,MATCH(10,CfgRank,0))),"")</f>
        <v/>
      </c>
      <c r="G23" s="70" t="str">
        <f aca="false">IF(ISNUMBER(MATCH(10,CfgRank,0)),INDEX('Guided Configurator'!$J:$J,INDEX(CfgRankRow,MATCH(10,CfgRank,0))),"")</f>
        <v/>
      </c>
      <c r="H23" s="71" t="str">
        <f aca="false">IF(ISNUMBER(MATCH(10,CfgRank,0)),INDEX('Guided Configurator'!$N:$N,INDEX(CfgRankRow,MATCH(10,CfgRank,0))),"")</f>
        <v/>
      </c>
    </row>
    <row r="25" customFormat="false" ht="15" hidden="false" customHeight="true" outlineLevel="0" collapsed="false">
      <c r="B25" s="62" t="s">
        <v>53</v>
      </c>
      <c r="C25" s="62"/>
      <c r="D25" s="62"/>
      <c r="E25" s="62"/>
      <c r="F25" s="62"/>
      <c r="G25" s="62"/>
      <c r="H25" s="62"/>
    </row>
    <row r="26" customFormat="false" ht="15" hidden="false" customHeight="true" outlineLevel="0" collapsed="false">
      <c r="B26" s="63" t="s">
        <v>56</v>
      </c>
      <c r="C26" s="63" t="s">
        <v>57</v>
      </c>
      <c r="D26" s="63" t="s">
        <v>40</v>
      </c>
      <c r="E26" s="63" t="s">
        <v>41</v>
      </c>
      <c r="F26" s="63" t="s">
        <v>85</v>
      </c>
      <c r="G26" s="63" t="s">
        <v>83</v>
      </c>
      <c r="H26" s="63" t="s">
        <v>84</v>
      </c>
    </row>
    <row r="27" customFormat="false" ht="15" hidden="false" customHeight="true" outlineLevel="0" collapsed="false">
      <c r="B27" s="72" t="str">
        <f aca="false">IF(ISNUMBER(MATCH(1,AccRank,0)),INDEX('Accessories &amp; Services'!$C:$C,INDEX(AccRankRow,MATCH(1,AccRank,0))),"")</f>
        <v/>
      </c>
      <c r="C27" s="65" t="str">
        <f aca="false">IF(ISNUMBER(MATCH(1,AccRank,0)),INDEX('Accessories &amp; Services'!$D:$D,INDEX(AccRankRow,MATCH(1,AccRank,0))),"")</f>
        <v/>
      </c>
      <c r="D27" s="45" t="str">
        <f aca="false">IF(ISNUMBER(MATCH(1,AccRank,0)),INDEX('Accessories &amp; Services'!$G:$G,INDEX(AccRankRow,MATCH(1,AccRank,0))),"")</f>
        <v/>
      </c>
      <c r="E27" s="73" t="str">
        <f aca="false">IF(ISNUMBER(MATCH(1,AccRank,0)),IF(INDEX('Accessories &amp; Services'!$F:$F,INDEX(AccRankRow,MATCH(1,AccRank,0)))="One-Time","One-Time",INDEX('Accessories &amp; Services'!$H:$H,INDEX(AccRankRow,MATCH(1,AccRank,0)))),"")</f>
        <v/>
      </c>
      <c r="F27" s="46" t="str">
        <f aca="false">IF(ISNUMBER(MATCH(1,AccRank,0)),INDEX('Accessories &amp; Services'!$K:$K,INDEX(AccRankRow,MATCH(1,AccRank,0))),"")</f>
        <v/>
      </c>
      <c r="G27" s="66" t="str">
        <f aca="false">IF(ISNUMBER(MATCH(1,AccRank,0)),INDEX('Accessories &amp; Services'!$L:$L,INDEX(AccRankRow,MATCH(1,AccRank,0))),"")</f>
        <v/>
      </c>
      <c r="H27" s="67" t="str">
        <f aca="false">IF(ISNUMBER(MATCH(1,AccRank,0)),INDEX('Accessories &amp; Services'!$M:$M,INDEX(AccRankRow,MATCH(1,AccRank,0))),"")</f>
        <v/>
      </c>
    </row>
    <row r="28" customFormat="false" ht="15" hidden="false" customHeight="true" outlineLevel="0" collapsed="false">
      <c r="B28" s="74" t="str">
        <f aca="false">IF(ISNUMBER(MATCH(2,AccRank,0)),INDEX('Accessories &amp; Services'!$C:$C,INDEX(AccRankRow,MATCH(2,AccRank,0))),"")</f>
        <v/>
      </c>
      <c r="C28" s="69" t="str">
        <f aca="false">IF(ISNUMBER(MATCH(2,AccRank,0)),INDEX('Accessories &amp; Services'!$D:$D,INDEX(AccRankRow,MATCH(2,AccRank,0))),"")</f>
        <v/>
      </c>
      <c r="D28" s="50" t="str">
        <f aca="false">IF(ISNUMBER(MATCH(2,AccRank,0)),INDEX('Accessories &amp; Services'!$G:$G,INDEX(AccRankRow,MATCH(2,AccRank,0))),"")</f>
        <v/>
      </c>
      <c r="E28" s="75" t="str">
        <f aca="false">IF(ISNUMBER(MATCH(2,AccRank,0)),IF(INDEX('Accessories &amp; Services'!$F:$F,INDEX(AccRankRow,MATCH(2,AccRank,0)))="One-Time","One-Time",INDEX('Accessories &amp; Services'!$H:$H,INDEX(AccRankRow,MATCH(2,AccRank,0)))),"")</f>
        <v/>
      </c>
      <c r="F28" s="51" t="str">
        <f aca="false">IF(ISNUMBER(MATCH(2,AccRank,0)),INDEX('Accessories &amp; Services'!$K:$K,INDEX(AccRankRow,MATCH(2,AccRank,0))),"")</f>
        <v/>
      </c>
      <c r="G28" s="70" t="str">
        <f aca="false">IF(ISNUMBER(MATCH(2,AccRank,0)),INDEX('Accessories &amp; Services'!$L:$L,INDEX(AccRankRow,MATCH(2,AccRank,0))),"")</f>
        <v/>
      </c>
      <c r="H28" s="71" t="str">
        <f aca="false">IF(ISNUMBER(MATCH(2,AccRank,0)),INDEX('Accessories &amp; Services'!$M:$M,INDEX(AccRankRow,MATCH(2,AccRank,0))),"")</f>
        <v/>
      </c>
    </row>
    <row r="29" customFormat="false" ht="15" hidden="false" customHeight="true" outlineLevel="0" collapsed="false">
      <c r="B29" s="72" t="str">
        <f aca="false">IF(ISNUMBER(MATCH(3,AccRank,0)),INDEX('Accessories &amp; Services'!$C:$C,INDEX(AccRankRow,MATCH(3,AccRank,0))),"")</f>
        <v/>
      </c>
      <c r="C29" s="65" t="str">
        <f aca="false">IF(ISNUMBER(MATCH(3,AccRank,0)),INDEX('Accessories &amp; Services'!$D:$D,INDEX(AccRankRow,MATCH(3,AccRank,0))),"")</f>
        <v/>
      </c>
      <c r="D29" s="45" t="str">
        <f aca="false">IF(ISNUMBER(MATCH(3,AccRank,0)),INDEX('Accessories &amp; Services'!$G:$G,INDEX(AccRankRow,MATCH(3,AccRank,0))),"")</f>
        <v/>
      </c>
      <c r="E29" s="76" t="str">
        <f aca="false">IF(ISNUMBER(MATCH(3,AccRank,0)),IF(INDEX('Accessories &amp; Services'!$F:$F,INDEX(AccRankRow,MATCH(3,AccRank,0)))="One-Time","One-Time",INDEX('Accessories &amp; Services'!$H:$H,INDEX(AccRankRow,MATCH(3,AccRank,0)))),"")</f>
        <v/>
      </c>
      <c r="F29" s="46" t="str">
        <f aca="false">IF(ISNUMBER(MATCH(3,AccRank,0)),INDEX('Accessories &amp; Services'!$K:$K,INDEX(AccRankRow,MATCH(3,AccRank,0))),"")</f>
        <v/>
      </c>
      <c r="G29" s="66" t="str">
        <f aca="false">IF(ISNUMBER(MATCH(3,AccRank,0)),INDEX('Accessories &amp; Services'!$L:$L,INDEX(AccRankRow,MATCH(3,AccRank,0))),"")</f>
        <v/>
      </c>
      <c r="H29" s="67" t="str">
        <f aca="false">IF(ISNUMBER(MATCH(3,AccRank,0)),INDEX('Accessories &amp; Services'!$M:$M,INDEX(AccRankRow,MATCH(3,AccRank,0))),"")</f>
        <v/>
      </c>
    </row>
    <row r="30" customFormat="false" ht="15" hidden="false" customHeight="true" outlineLevel="0" collapsed="false">
      <c r="B30" s="74" t="str">
        <f aca="false">IF(ISNUMBER(MATCH(4,AccRank,0)),INDEX('Accessories &amp; Services'!$C:$C,INDEX(AccRankRow,MATCH(4,AccRank,0))),"")</f>
        <v/>
      </c>
      <c r="C30" s="69" t="str">
        <f aca="false">IF(ISNUMBER(MATCH(4,AccRank,0)),INDEX('Accessories &amp; Services'!$D:$D,INDEX(AccRankRow,MATCH(4,AccRank,0))),"")</f>
        <v/>
      </c>
      <c r="D30" s="50" t="str">
        <f aca="false">IF(ISNUMBER(MATCH(4,AccRank,0)),INDEX('Accessories &amp; Services'!$G:$G,INDEX(AccRankRow,MATCH(4,AccRank,0))),"")</f>
        <v/>
      </c>
      <c r="E30" s="75" t="str">
        <f aca="false">IF(ISNUMBER(MATCH(4,AccRank,0)),IF(INDEX('Accessories &amp; Services'!$F:$F,INDEX(AccRankRow,MATCH(4,AccRank,0)))="One-Time","One-Time",INDEX('Accessories &amp; Services'!$H:$H,INDEX(AccRankRow,MATCH(4,AccRank,0)))),"")</f>
        <v/>
      </c>
      <c r="F30" s="51" t="str">
        <f aca="false">IF(ISNUMBER(MATCH(4,AccRank,0)),INDEX('Accessories &amp; Services'!$K:$K,INDEX(AccRankRow,MATCH(4,AccRank,0))),"")</f>
        <v/>
      </c>
      <c r="G30" s="70" t="str">
        <f aca="false">IF(ISNUMBER(MATCH(4,AccRank,0)),INDEX('Accessories &amp; Services'!$L:$L,INDEX(AccRankRow,MATCH(4,AccRank,0))),"")</f>
        <v/>
      </c>
      <c r="H30" s="71" t="str">
        <f aca="false">IF(ISNUMBER(MATCH(4,AccRank,0)),INDEX('Accessories &amp; Services'!$M:$M,INDEX(AccRankRow,MATCH(4,AccRank,0))),"")</f>
        <v/>
      </c>
    </row>
    <row r="31" customFormat="false" ht="15" hidden="false" customHeight="true" outlineLevel="0" collapsed="false">
      <c r="B31" s="72" t="str">
        <f aca="false">IF(ISNUMBER(MATCH(5,AccRank,0)),INDEX('Accessories &amp; Services'!$C:$C,INDEX(AccRankRow,MATCH(5,AccRank,0))),"")</f>
        <v/>
      </c>
      <c r="C31" s="65" t="str">
        <f aca="false">IF(ISNUMBER(MATCH(5,AccRank,0)),INDEX('Accessories &amp; Services'!$D:$D,INDEX(AccRankRow,MATCH(5,AccRank,0))),"")</f>
        <v/>
      </c>
      <c r="D31" s="45" t="str">
        <f aca="false">IF(ISNUMBER(MATCH(5,AccRank,0)),INDEX('Accessories &amp; Services'!$G:$G,INDEX(AccRankRow,MATCH(5,AccRank,0))),"")</f>
        <v/>
      </c>
      <c r="E31" s="76" t="str">
        <f aca="false">IF(ISNUMBER(MATCH(5,AccRank,0)),IF(INDEX('Accessories &amp; Services'!$F:$F,INDEX(AccRankRow,MATCH(5,AccRank,0)))="One-Time","One-Time",INDEX('Accessories &amp; Services'!$H:$H,INDEX(AccRankRow,MATCH(5,AccRank,0)))),"")</f>
        <v/>
      </c>
      <c r="F31" s="46" t="str">
        <f aca="false">IF(ISNUMBER(MATCH(5,AccRank,0)),INDEX('Accessories &amp; Services'!$K:$K,INDEX(AccRankRow,MATCH(5,AccRank,0))),"")</f>
        <v/>
      </c>
      <c r="G31" s="66" t="str">
        <f aca="false">IF(ISNUMBER(MATCH(5,AccRank,0)),INDEX('Accessories &amp; Services'!$L:$L,INDEX(AccRankRow,MATCH(5,AccRank,0))),"")</f>
        <v/>
      </c>
      <c r="H31" s="67" t="str">
        <f aca="false">IF(ISNUMBER(MATCH(5,AccRank,0)),INDEX('Accessories &amp; Services'!$M:$M,INDEX(AccRankRow,MATCH(5,AccRank,0))),"")</f>
        <v/>
      </c>
    </row>
    <row r="32" customFormat="false" ht="15" hidden="false" customHeight="true" outlineLevel="0" collapsed="false">
      <c r="B32" s="74" t="str">
        <f aca="false">IF(ISNUMBER(MATCH(6,AccRank,0)),INDEX('Accessories &amp; Services'!$C:$C,INDEX(AccRankRow,MATCH(6,AccRank,0))),"")</f>
        <v/>
      </c>
      <c r="C32" s="69" t="str">
        <f aca="false">IF(ISNUMBER(MATCH(6,AccRank,0)),INDEX('Accessories &amp; Services'!$D:$D,INDEX(AccRankRow,MATCH(6,AccRank,0))),"")</f>
        <v/>
      </c>
      <c r="D32" s="50" t="str">
        <f aca="false">IF(ISNUMBER(MATCH(6,AccRank,0)),INDEX('Accessories &amp; Services'!$G:$G,INDEX(AccRankRow,MATCH(6,AccRank,0))),"")</f>
        <v/>
      </c>
      <c r="E32" s="75" t="str">
        <f aca="false">IF(ISNUMBER(MATCH(6,AccRank,0)),IF(INDEX('Accessories &amp; Services'!$F:$F,INDEX(AccRankRow,MATCH(6,AccRank,0)))="One-Time","One-Time",INDEX('Accessories &amp; Services'!$H:$H,INDEX(AccRankRow,MATCH(6,AccRank,0)))),"")</f>
        <v/>
      </c>
      <c r="F32" s="51" t="str">
        <f aca="false">IF(ISNUMBER(MATCH(6,AccRank,0)),INDEX('Accessories &amp; Services'!$K:$K,INDEX(AccRankRow,MATCH(6,AccRank,0))),"")</f>
        <v/>
      </c>
      <c r="G32" s="70" t="str">
        <f aca="false">IF(ISNUMBER(MATCH(6,AccRank,0)),INDEX('Accessories &amp; Services'!$L:$L,INDEX(AccRankRow,MATCH(6,AccRank,0))),"")</f>
        <v/>
      </c>
      <c r="H32" s="71" t="str">
        <f aca="false">IF(ISNUMBER(MATCH(6,AccRank,0)),INDEX('Accessories &amp; Services'!$M:$M,INDEX(AccRankRow,MATCH(6,AccRank,0))),"")</f>
        <v/>
      </c>
    </row>
    <row r="33" customFormat="false" ht="15" hidden="false" customHeight="true" outlineLevel="0" collapsed="false">
      <c r="B33" s="72" t="str">
        <f aca="false">IF(ISNUMBER(MATCH(7,AccRank,0)),INDEX('Accessories &amp; Services'!$C:$C,INDEX(AccRankRow,MATCH(7,AccRank,0))),"")</f>
        <v/>
      </c>
      <c r="C33" s="65" t="str">
        <f aca="false">IF(ISNUMBER(MATCH(7,AccRank,0)),INDEX('Accessories &amp; Services'!$D:$D,INDEX(AccRankRow,MATCH(7,AccRank,0))),"")</f>
        <v/>
      </c>
      <c r="D33" s="45" t="str">
        <f aca="false">IF(ISNUMBER(MATCH(7,AccRank,0)),INDEX('Accessories &amp; Services'!$G:$G,INDEX(AccRankRow,MATCH(7,AccRank,0))),"")</f>
        <v/>
      </c>
      <c r="E33" s="76" t="str">
        <f aca="false">IF(ISNUMBER(MATCH(7,AccRank,0)),IF(INDEX('Accessories &amp; Services'!$F:$F,INDEX(AccRankRow,MATCH(7,AccRank,0)))="One-Time","One-Time",INDEX('Accessories &amp; Services'!$H:$H,INDEX(AccRankRow,MATCH(7,AccRank,0)))),"")</f>
        <v/>
      </c>
      <c r="F33" s="46" t="str">
        <f aca="false">IF(ISNUMBER(MATCH(7,AccRank,0)),INDEX('Accessories &amp; Services'!$K:$K,INDEX(AccRankRow,MATCH(7,AccRank,0))),"")</f>
        <v/>
      </c>
      <c r="G33" s="66" t="str">
        <f aca="false">IF(ISNUMBER(MATCH(7,AccRank,0)),INDEX('Accessories &amp; Services'!$L:$L,INDEX(AccRankRow,MATCH(7,AccRank,0))),"")</f>
        <v/>
      </c>
      <c r="H33" s="67" t="str">
        <f aca="false">IF(ISNUMBER(MATCH(7,AccRank,0)),INDEX('Accessories &amp; Services'!$M:$M,INDEX(AccRankRow,MATCH(7,AccRank,0))),"")</f>
        <v/>
      </c>
    </row>
    <row r="34" customFormat="false" ht="15" hidden="false" customHeight="true" outlineLevel="0" collapsed="false">
      <c r="B34" s="74" t="str">
        <f aca="false">IF(ISNUMBER(MATCH(8,AccRank,0)),INDEX('Accessories &amp; Services'!$C:$C,INDEX(AccRankRow,MATCH(8,AccRank,0))),"")</f>
        <v/>
      </c>
      <c r="C34" s="69" t="str">
        <f aca="false">IF(ISNUMBER(MATCH(8,AccRank,0)),INDEX('Accessories &amp; Services'!$D:$D,INDEX(AccRankRow,MATCH(8,AccRank,0))),"")</f>
        <v/>
      </c>
      <c r="D34" s="50" t="str">
        <f aca="false">IF(ISNUMBER(MATCH(8,AccRank,0)),INDEX('Accessories &amp; Services'!$G:$G,INDEX(AccRankRow,MATCH(8,AccRank,0))),"")</f>
        <v/>
      </c>
      <c r="E34" s="75" t="str">
        <f aca="false">IF(ISNUMBER(MATCH(8,AccRank,0)),IF(INDEX('Accessories &amp; Services'!$F:$F,INDEX(AccRankRow,MATCH(8,AccRank,0)))="One-Time","One-Time",INDEX('Accessories &amp; Services'!$H:$H,INDEX(AccRankRow,MATCH(8,AccRank,0)))),"")</f>
        <v/>
      </c>
      <c r="F34" s="51" t="str">
        <f aca="false">IF(ISNUMBER(MATCH(8,AccRank,0)),INDEX('Accessories &amp; Services'!$K:$K,INDEX(AccRankRow,MATCH(8,AccRank,0))),"")</f>
        <v/>
      </c>
      <c r="G34" s="70" t="str">
        <f aca="false">IF(ISNUMBER(MATCH(8,AccRank,0)),INDEX('Accessories &amp; Services'!$L:$L,INDEX(AccRankRow,MATCH(8,AccRank,0))),"")</f>
        <v/>
      </c>
      <c r="H34" s="71" t="str">
        <f aca="false">IF(ISNUMBER(MATCH(8,AccRank,0)),INDEX('Accessories &amp; Services'!$M:$M,INDEX(AccRankRow,MATCH(8,AccRank,0))),"")</f>
        <v/>
      </c>
    </row>
    <row r="35" customFormat="false" ht="15" hidden="false" customHeight="true" outlineLevel="0" collapsed="false">
      <c r="B35" s="72" t="str">
        <f aca="false">IF(ISNUMBER(MATCH(9,AccRank,0)),INDEX('Accessories &amp; Services'!$C:$C,INDEX(AccRankRow,MATCH(9,AccRank,0))),"")</f>
        <v/>
      </c>
      <c r="C35" s="65" t="str">
        <f aca="false">IF(ISNUMBER(MATCH(9,AccRank,0)),INDEX('Accessories &amp; Services'!$D:$D,INDEX(AccRankRow,MATCH(9,AccRank,0))),"")</f>
        <v/>
      </c>
      <c r="D35" s="45" t="str">
        <f aca="false">IF(ISNUMBER(MATCH(9,AccRank,0)),INDEX('Accessories &amp; Services'!$G:$G,INDEX(AccRankRow,MATCH(9,AccRank,0))),"")</f>
        <v/>
      </c>
      <c r="E35" s="76" t="str">
        <f aca="false">IF(ISNUMBER(MATCH(9,AccRank,0)),IF(INDEX('Accessories &amp; Services'!$F:$F,INDEX(AccRankRow,MATCH(9,AccRank,0)))="One-Time","One-Time",INDEX('Accessories &amp; Services'!$H:$H,INDEX(AccRankRow,MATCH(9,AccRank,0)))),"")</f>
        <v/>
      </c>
      <c r="F35" s="46" t="str">
        <f aca="false">IF(ISNUMBER(MATCH(9,AccRank,0)),INDEX('Accessories &amp; Services'!$K:$K,INDEX(AccRankRow,MATCH(9,AccRank,0))),"")</f>
        <v/>
      </c>
      <c r="G35" s="66" t="str">
        <f aca="false">IF(ISNUMBER(MATCH(9,AccRank,0)),INDEX('Accessories &amp; Services'!$L:$L,INDEX(AccRankRow,MATCH(9,AccRank,0))),"")</f>
        <v/>
      </c>
      <c r="H35" s="67" t="str">
        <f aca="false">IF(ISNUMBER(MATCH(9,AccRank,0)),INDEX('Accessories &amp; Services'!$M:$M,INDEX(AccRankRow,MATCH(9,AccRank,0))),"")</f>
        <v/>
      </c>
    </row>
    <row r="36" customFormat="false" ht="15" hidden="false" customHeight="true" outlineLevel="0" collapsed="false">
      <c r="B36" s="74" t="str">
        <f aca="false">IF(ISNUMBER(MATCH(10,AccRank,0)),INDEX('Accessories &amp; Services'!$C:$C,INDEX(AccRankRow,MATCH(10,AccRank,0))),"")</f>
        <v/>
      </c>
      <c r="C36" s="69" t="str">
        <f aca="false">IF(ISNUMBER(MATCH(10,AccRank,0)),INDEX('Accessories &amp; Services'!$D:$D,INDEX(AccRankRow,MATCH(10,AccRank,0))),"")</f>
        <v/>
      </c>
      <c r="D36" s="50" t="str">
        <f aca="false">IF(ISNUMBER(MATCH(10,AccRank,0)),INDEX('Accessories &amp; Services'!$G:$G,INDEX(AccRankRow,MATCH(10,AccRank,0))),"")</f>
        <v/>
      </c>
      <c r="E36" s="75" t="str">
        <f aca="false">IF(ISNUMBER(MATCH(10,AccRank,0)),IF(INDEX('Accessories &amp; Services'!$F:$F,INDEX(AccRankRow,MATCH(10,AccRank,0)))="One-Time","One-Time",INDEX('Accessories &amp; Services'!$H:$H,INDEX(AccRankRow,MATCH(10,AccRank,0)))),"")</f>
        <v/>
      </c>
      <c r="F36" s="51" t="str">
        <f aca="false">IF(ISNUMBER(MATCH(10,AccRank,0)),INDEX('Accessories &amp; Services'!$K:$K,INDEX(AccRankRow,MATCH(10,AccRank,0))),"")</f>
        <v/>
      </c>
      <c r="G36" s="70" t="str">
        <f aca="false">IF(ISNUMBER(MATCH(10,AccRank,0)),INDEX('Accessories &amp; Services'!$L:$L,INDEX(AccRankRow,MATCH(10,AccRank,0))),"")</f>
        <v/>
      </c>
      <c r="H36" s="71" t="str">
        <f aca="false">IF(ISNUMBER(MATCH(10,AccRank,0)),INDEX('Accessories &amp; Services'!$M:$M,INDEX(AccRankRow,MATCH(10,AccRank,0))),"")</f>
        <v/>
      </c>
    </row>
    <row r="37" customFormat="false" ht="15" hidden="false" customHeight="true" outlineLevel="0" collapsed="false">
      <c r="B37" s="72" t="str">
        <f aca="false">IF(ISNUMBER(MATCH(11,AccRank,0)),INDEX('Accessories &amp; Services'!$C:$C,INDEX(AccRankRow,MATCH(11,AccRank,0))),"")</f>
        <v/>
      </c>
      <c r="C37" s="65" t="str">
        <f aca="false">IF(ISNUMBER(MATCH(11,AccRank,0)),INDEX('Accessories &amp; Services'!$D:$D,INDEX(AccRankRow,MATCH(11,AccRank,0))),"")</f>
        <v/>
      </c>
      <c r="D37" s="45" t="str">
        <f aca="false">IF(ISNUMBER(MATCH(11,AccRank,0)),INDEX('Accessories &amp; Services'!$G:$G,INDEX(AccRankRow,MATCH(11,AccRank,0))),"")</f>
        <v/>
      </c>
      <c r="E37" s="76" t="str">
        <f aca="false">IF(ISNUMBER(MATCH(11,AccRank,0)),IF(INDEX('Accessories &amp; Services'!$F:$F,INDEX(AccRankRow,MATCH(11,AccRank,0)))="One-Time","One-Time",INDEX('Accessories &amp; Services'!$H:$H,INDEX(AccRankRow,MATCH(11,AccRank,0)))),"")</f>
        <v/>
      </c>
      <c r="F37" s="46" t="str">
        <f aca="false">IF(ISNUMBER(MATCH(11,AccRank,0)),INDEX('Accessories &amp; Services'!$K:$K,INDEX(AccRankRow,MATCH(11,AccRank,0))),"")</f>
        <v/>
      </c>
      <c r="G37" s="66" t="str">
        <f aca="false">IF(ISNUMBER(MATCH(11,AccRank,0)),INDEX('Accessories &amp; Services'!$L:$L,INDEX(AccRankRow,MATCH(11,AccRank,0))),"")</f>
        <v/>
      </c>
      <c r="H37" s="67" t="str">
        <f aca="false">IF(ISNUMBER(MATCH(11,AccRank,0)),INDEX('Accessories &amp; Services'!$M:$M,INDEX(AccRankRow,MATCH(11,AccRank,0))),"")</f>
        <v/>
      </c>
    </row>
    <row r="38" customFormat="false" ht="15" hidden="false" customHeight="true" outlineLevel="0" collapsed="false">
      <c r="B38" s="74" t="str">
        <f aca="false">IF(ISNUMBER(MATCH(12,AccRank,0)),INDEX('Accessories &amp; Services'!$C:$C,INDEX(AccRankRow,MATCH(12,AccRank,0))),"")</f>
        <v/>
      </c>
      <c r="C38" s="69" t="str">
        <f aca="false">IF(ISNUMBER(MATCH(12,AccRank,0)),INDEX('Accessories &amp; Services'!$D:$D,INDEX(AccRankRow,MATCH(12,AccRank,0))),"")</f>
        <v/>
      </c>
      <c r="D38" s="50" t="str">
        <f aca="false">IF(ISNUMBER(MATCH(12,AccRank,0)),INDEX('Accessories &amp; Services'!$G:$G,INDEX(AccRankRow,MATCH(12,AccRank,0))),"")</f>
        <v/>
      </c>
      <c r="E38" s="75" t="str">
        <f aca="false">IF(ISNUMBER(MATCH(12,AccRank,0)),IF(INDEX('Accessories &amp; Services'!$F:$F,INDEX(AccRankRow,MATCH(12,AccRank,0)))="One-Time","One-Time",INDEX('Accessories &amp; Services'!$H:$H,INDEX(AccRankRow,MATCH(12,AccRank,0)))),"")</f>
        <v/>
      </c>
      <c r="F38" s="51" t="str">
        <f aca="false">IF(ISNUMBER(MATCH(12,AccRank,0)),INDEX('Accessories &amp; Services'!$K:$K,INDEX(AccRankRow,MATCH(12,AccRank,0))),"")</f>
        <v/>
      </c>
      <c r="G38" s="70" t="str">
        <f aca="false">IF(ISNUMBER(MATCH(12,AccRank,0)),INDEX('Accessories &amp; Services'!$L:$L,INDEX(AccRankRow,MATCH(12,AccRank,0))),"")</f>
        <v/>
      </c>
      <c r="H38" s="71" t="str">
        <f aca="false">IF(ISNUMBER(MATCH(12,AccRank,0)),INDEX('Accessories &amp; Services'!$M:$M,INDEX(AccRankRow,MATCH(12,AccRank,0))),"")</f>
        <v/>
      </c>
    </row>
    <row r="39" customFormat="false" ht="15" hidden="false" customHeight="true" outlineLevel="0" collapsed="false">
      <c r="B39" s="72" t="str">
        <f aca="false">IF(ISNUMBER(MATCH(13,AccRank,0)),INDEX('Accessories &amp; Services'!$C:$C,INDEX(AccRankRow,MATCH(13,AccRank,0))),"")</f>
        <v/>
      </c>
      <c r="C39" s="65" t="str">
        <f aca="false">IF(ISNUMBER(MATCH(13,AccRank,0)),INDEX('Accessories &amp; Services'!$D:$D,INDEX(AccRankRow,MATCH(13,AccRank,0))),"")</f>
        <v/>
      </c>
      <c r="D39" s="45" t="str">
        <f aca="false">IF(ISNUMBER(MATCH(13,AccRank,0)),INDEX('Accessories &amp; Services'!$G:$G,INDEX(AccRankRow,MATCH(13,AccRank,0))),"")</f>
        <v/>
      </c>
      <c r="E39" s="76" t="str">
        <f aca="false">IF(ISNUMBER(MATCH(13,AccRank,0)),IF(INDEX('Accessories &amp; Services'!$F:$F,INDEX(AccRankRow,MATCH(13,AccRank,0)))="One-Time","One-Time",INDEX('Accessories &amp; Services'!$H:$H,INDEX(AccRankRow,MATCH(13,AccRank,0)))),"")</f>
        <v/>
      </c>
      <c r="F39" s="46" t="str">
        <f aca="false">IF(ISNUMBER(MATCH(13,AccRank,0)),INDEX('Accessories &amp; Services'!$K:$K,INDEX(AccRankRow,MATCH(13,AccRank,0))),"")</f>
        <v/>
      </c>
      <c r="G39" s="66" t="str">
        <f aca="false">IF(ISNUMBER(MATCH(13,AccRank,0)),INDEX('Accessories &amp; Services'!$L:$L,INDEX(AccRankRow,MATCH(13,AccRank,0))),"")</f>
        <v/>
      </c>
      <c r="H39" s="67" t="str">
        <f aca="false">IF(ISNUMBER(MATCH(13,AccRank,0)),INDEX('Accessories &amp; Services'!$M:$M,INDEX(AccRankRow,MATCH(13,AccRank,0))),"")</f>
        <v/>
      </c>
    </row>
    <row r="40" customFormat="false" ht="15" hidden="false" customHeight="true" outlineLevel="0" collapsed="false">
      <c r="B40" s="74" t="str">
        <f aca="false">IF(ISNUMBER(MATCH(14,AccRank,0)),INDEX('Accessories &amp; Services'!$C:$C,INDEX(AccRankRow,MATCH(14,AccRank,0))),"")</f>
        <v/>
      </c>
      <c r="C40" s="69" t="str">
        <f aca="false">IF(ISNUMBER(MATCH(14,AccRank,0)),INDEX('Accessories &amp; Services'!$D:$D,INDEX(AccRankRow,MATCH(14,AccRank,0))),"")</f>
        <v/>
      </c>
      <c r="D40" s="50" t="str">
        <f aca="false">IF(ISNUMBER(MATCH(14,AccRank,0)),INDEX('Accessories &amp; Services'!$G:$G,INDEX(AccRankRow,MATCH(14,AccRank,0))),"")</f>
        <v/>
      </c>
      <c r="E40" s="75" t="str">
        <f aca="false">IF(ISNUMBER(MATCH(14,AccRank,0)),IF(INDEX('Accessories &amp; Services'!$F:$F,INDEX(AccRankRow,MATCH(14,AccRank,0)))="One-Time","One-Time",INDEX('Accessories &amp; Services'!$H:$H,INDEX(AccRankRow,MATCH(14,AccRank,0)))),"")</f>
        <v/>
      </c>
      <c r="F40" s="51" t="str">
        <f aca="false">IF(ISNUMBER(MATCH(14,AccRank,0)),INDEX('Accessories &amp; Services'!$K:$K,INDEX(AccRankRow,MATCH(14,AccRank,0))),"")</f>
        <v/>
      </c>
      <c r="G40" s="70" t="str">
        <f aca="false">IF(ISNUMBER(MATCH(14,AccRank,0)),INDEX('Accessories &amp; Services'!$L:$L,INDEX(AccRankRow,MATCH(14,AccRank,0))),"")</f>
        <v/>
      </c>
      <c r="H40" s="71" t="str">
        <f aca="false">IF(ISNUMBER(MATCH(14,AccRank,0)),INDEX('Accessories &amp; Services'!$M:$M,INDEX(AccRankRow,MATCH(14,AccRank,0))),"")</f>
        <v/>
      </c>
    </row>
    <row r="41" customFormat="false" ht="15" hidden="false" customHeight="true" outlineLevel="0" collapsed="false">
      <c r="B41" s="72" t="str">
        <f aca="false">IF(ISNUMBER(MATCH(15,AccRank,0)),INDEX('Accessories &amp; Services'!$C:$C,INDEX(AccRankRow,MATCH(15,AccRank,0))),"")</f>
        <v/>
      </c>
      <c r="C41" s="65" t="str">
        <f aca="false">IF(ISNUMBER(MATCH(15,AccRank,0)),INDEX('Accessories &amp; Services'!$D:$D,INDEX(AccRankRow,MATCH(15,AccRank,0))),"")</f>
        <v/>
      </c>
      <c r="D41" s="45" t="str">
        <f aca="false">IF(ISNUMBER(MATCH(15,AccRank,0)),INDEX('Accessories &amp; Services'!$G:$G,INDEX(AccRankRow,MATCH(15,AccRank,0))),"")</f>
        <v/>
      </c>
      <c r="E41" s="76" t="str">
        <f aca="false">IF(ISNUMBER(MATCH(15,AccRank,0)),IF(INDEX('Accessories &amp; Services'!$F:$F,INDEX(AccRankRow,MATCH(15,AccRank,0)))="One-Time","One-Time",INDEX('Accessories &amp; Services'!$H:$H,INDEX(AccRankRow,MATCH(15,AccRank,0)))),"")</f>
        <v/>
      </c>
      <c r="F41" s="46" t="str">
        <f aca="false">IF(ISNUMBER(MATCH(15,AccRank,0)),INDEX('Accessories &amp; Services'!$K:$K,INDEX(AccRankRow,MATCH(15,AccRank,0))),"")</f>
        <v/>
      </c>
      <c r="G41" s="66" t="str">
        <f aca="false">IF(ISNUMBER(MATCH(15,AccRank,0)),INDEX('Accessories &amp; Services'!$L:$L,INDEX(AccRankRow,MATCH(15,AccRank,0))),"")</f>
        <v/>
      </c>
      <c r="H41" s="67" t="str">
        <f aca="false">IF(ISNUMBER(MATCH(15,AccRank,0)),INDEX('Accessories &amp; Services'!$M:$M,INDEX(AccRankRow,MATCH(15,AccRank,0))),"")</f>
        <v/>
      </c>
    </row>
    <row r="42" customFormat="false" ht="15" hidden="false" customHeight="true" outlineLevel="0" collapsed="false">
      <c r="B42" s="74" t="str">
        <f aca="false">IF(ISNUMBER(MATCH(16,AccRank,0)),INDEX('Accessories &amp; Services'!$C:$C,INDEX(AccRankRow,MATCH(16,AccRank,0))),"")</f>
        <v/>
      </c>
      <c r="C42" s="69" t="str">
        <f aca="false">IF(ISNUMBER(MATCH(16,AccRank,0)),INDEX('Accessories &amp; Services'!$D:$D,INDEX(AccRankRow,MATCH(16,AccRank,0))),"")</f>
        <v/>
      </c>
      <c r="D42" s="50" t="str">
        <f aca="false">IF(ISNUMBER(MATCH(16,AccRank,0)),INDEX('Accessories &amp; Services'!$G:$G,INDEX(AccRankRow,MATCH(16,AccRank,0))),"")</f>
        <v/>
      </c>
      <c r="E42" s="75" t="str">
        <f aca="false">IF(ISNUMBER(MATCH(16,AccRank,0)),IF(INDEX('Accessories &amp; Services'!$F:$F,INDEX(AccRankRow,MATCH(16,AccRank,0)))="One-Time","One-Time",INDEX('Accessories &amp; Services'!$H:$H,INDEX(AccRankRow,MATCH(16,AccRank,0)))),"")</f>
        <v/>
      </c>
      <c r="F42" s="51" t="str">
        <f aca="false">IF(ISNUMBER(MATCH(16,AccRank,0)),INDEX('Accessories &amp; Services'!$K:$K,INDEX(AccRankRow,MATCH(16,AccRank,0))),"")</f>
        <v/>
      </c>
      <c r="G42" s="70" t="str">
        <f aca="false">IF(ISNUMBER(MATCH(16,AccRank,0)),INDEX('Accessories &amp; Services'!$L:$L,INDEX(AccRankRow,MATCH(16,AccRank,0))),"")</f>
        <v/>
      </c>
      <c r="H42" s="71" t="str">
        <f aca="false">IF(ISNUMBER(MATCH(16,AccRank,0)),INDEX('Accessories &amp; Services'!$M:$M,INDEX(AccRankRow,MATCH(16,AccRank,0))),"")</f>
        <v/>
      </c>
    </row>
    <row r="43" customFormat="false" ht="15" hidden="false" customHeight="true" outlineLevel="0" collapsed="false">
      <c r="B43" s="72" t="str">
        <f aca="false">IF(ISNUMBER(MATCH(17,AccRank,0)),INDEX('Accessories &amp; Services'!$C:$C,INDEX(AccRankRow,MATCH(17,AccRank,0))),"")</f>
        <v/>
      </c>
      <c r="C43" s="65" t="str">
        <f aca="false">IF(ISNUMBER(MATCH(17,AccRank,0)),INDEX('Accessories &amp; Services'!$D:$D,INDEX(AccRankRow,MATCH(17,AccRank,0))),"")</f>
        <v/>
      </c>
      <c r="D43" s="45" t="str">
        <f aca="false">IF(ISNUMBER(MATCH(17,AccRank,0)),INDEX('Accessories &amp; Services'!$G:$G,INDEX(AccRankRow,MATCH(17,AccRank,0))),"")</f>
        <v/>
      </c>
      <c r="E43" s="76" t="str">
        <f aca="false">IF(ISNUMBER(MATCH(17,AccRank,0)),IF(INDEX('Accessories &amp; Services'!$F:$F,INDEX(AccRankRow,MATCH(17,AccRank,0)))="One-Time","One-Time",INDEX('Accessories &amp; Services'!$H:$H,INDEX(AccRankRow,MATCH(17,AccRank,0)))),"")</f>
        <v/>
      </c>
      <c r="F43" s="46" t="str">
        <f aca="false">IF(ISNUMBER(MATCH(17,AccRank,0)),INDEX('Accessories &amp; Services'!$K:$K,INDEX(AccRankRow,MATCH(17,AccRank,0))),"")</f>
        <v/>
      </c>
      <c r="G43" s="66" t="str">
        <f aca="false">IF(ISNUMBER(MATCH(17,AccRank,0)),INDEX('Accessories &amp; Services'!$L:$L,INDEX(AccRankRow,MATCH(17,AccRank,0))),"")</f>
        <v/>
      </c>
      <c r="H43" s="67" t="str">
        <f aca="false">IF(ISNUMBER(MATCH(17,AccRank,0)),INDEX('Accessories &amp; Services'!$M:$M,INDEX(AccRankRow,MATCH(17,AccRank,0))),"")</f>
        <v/>
      </c>
    </row>
    <row r="44" customFormat="false" ht="15" hidden="false" customHeight="true" outlineLevel="0" collapsed="false">
      <c r="B44" s="74" t="str">
        <f aca="false">IF(ISNUMBER(MATCH(18,AccRank,0)),INDEX('Accessories &amp; Services'!$C:$C,INDEX(AccRankRow,MATCH(18,AccRank,0))),"")</f>
        <v/>
      </c>
      <c r="C44" s="69" t="str">
        <f aca="false">IF(ISNUMBER(MATCH(18,AccRank,0)),INDEX('Accessories &amp; Services'!$D:$D,INDEX(AccRankRow,MATCH(18,AccRank,0))),"")</f>
        <v/>
      </c>
      <c r="D44" s="50" t="str">
        <f aca="false">IF(ISNUMBER(MATCH(18,AccRank,0)),INDEX('Accessories &amp; Services'!$G:$G,INDEX(AccRankRow,MATCH(18,AccRank,0))),"")</f>
        <v/>
      </c>
      <c r="E44" s="75" t="str">
        <f aca="false">IF(ISNUMBER(MATCH(18,AccRank,0)),IF(INDEX('Accessories &amp; Services'!$F:$F,INDEX(AccRankRow,MATCH(18,AccRank,0)))="One-Time","One-Time",INDEX('Accessories &amp; Services'!$H:$H,INDEX(AccRankRow,MATCH(18,AccRank,0)))),"")</f>
        <v/>
      </c>
      <c r="F44" s="51" t="str">
        <f aca="false">IF(ISNUMBER(MATCH(18,AccRank,0)),INDEX('Accessories &amp; Services'!$K:$K,INDEX(AccRankRow,MATCH(18,AccRank,0))),"")</f>
        <v/>
      </c>
      <c r="G44" s="70" t="str">
        <f aca="false">IF(ISNUMBER(MATCH(18,AccRank,0)),INDEX('Accessories &amp; Services'!$L:$L,INDEX(AccRankRow,MATCH(18,AccRank,0))),"")</f>
        <v/>
      </c>
      <c r="H44" s="71" t="str">
        <f aca="false">IF(ISNUMBER(MATCH(18,AccRank,0)),INDEX('Accessories &amp; Services'!$M:$M,INDEX(AccRankRow,MATCH(18,AccRank,0))),"")</f>
        <v/>
      </c>
    </row>
    <row r="45" customFormat="false" ht="15" hidden="false" customHeight="true" outlineLevel="0" collapsed="false">
      <c r="B45" s="72" t="str">
        <f aca="false">IF(ISNUMBER(MATCH(19,AccRank,0)),INDEX('Accessories &amp; Services'!$C:$C,INDEX(AccRankRow,MATCH(19,AccRank,0))),"")</f>
        <v/>
      </c>
      <c r="C45" s="65" t="str">
        <f aca="false">IF(ISNUMBER(MATCH(19,AccRank,0)),INDEX('Accessories &amp; Services'!$D:$D,INDEX(AccRankRow,MATCH(19,AccRank,0))),"")</f>
        <v/>
      </c>
      <c r="D45" s="45" t="str">
        <f aca="false">IF(ISNUMBER(MATCH(19,AccRank,0)),INDEX('Accessories &amp; Services'!$G:$G,INDEX(AccRankRow,MATCH(19,AccRank,0))),"")</f>
        <v/>
      </c>
      <c r="E45" s="76" t="str">
        <f aca="false">IF(ISNUMBER(MATCH(19,AccRank,0)),IF(INDEX('Accessories &amp; Services'!$F:$F,INDEX(AccRankRow,MATCH(19,AccRank,0)))="One-Time","One-Time",INDEX('Accessories &amp; Services'!$H:$H,INDEX(AccRankRow,MATCH(19,AccRank,0)))),"")</f>
        <v/>
      </c>
      <c r="F45" s="46" t="str">
        <f aca="false">IF(ISNUMBER(MATCH(19,AccRank,0)),INDEX('Accessories &amp; Services'!$K:$K,INDEX(AccRankRow,MATCH(19,AccRank,0))),"")</f>
        <v/>
      </c>
      <c r="G45" s="66" t="str">
        <f aca="false">IF(ISNUMBER(MATCH(19,AccRank,0)),INDEX('Accessories &amp; Services'!$L:$L,INDEX(AccRankRow,MATCH(19,AccRank,0))),"")</f>
        <v/>
      </c>
      <c r="H45" s="67" t="str">
        <f aca="false">IF(ISNUMBER(MATCH(19,AccRank,0)),INDEX('Accessories &amp; Services'!$M:$M,INDEX(AccRankRow,MATCH(19,AccRank,0))),"")</f>
        <v/>
      </c>
    </row>
    <row r="46" customFormat="false" ht="15" hidden="false" customHeight="true" outlineLevel="0" collapsed="false">
      <c r="B46" s="74" t="str">
        <f aca="false">IF(ISNUMBER(MATCH(20,AccRank,0)),INDEX('Accessories &amp; Services'!$C:$C,INDEX(AccRankRow,MATCH(20,AccRank,0))),"")</f>
        <v/>
      </c>
      <c r="C46" s="69" t="str">
        <f aca="false">IF(ISNUMBER(MATCH(20,AccRank,0)),INDEX('Accessories &amp; Services'!$D:$D,INDEX(AccRankRow,MATCH(20,AccRank,0))),"")</f>
        <v/>
      </c>
      <c r="D46" s="50" t="str">
        <f aca="false">IF(ISNUMBER(MATCH(20,AccRank,0)),INDEX('Accessories &amp; Services'!$G:$G,INDEX(AccRankRow,MATCH(20,AccRank,0))),"")</f>
        <v/>
      </c>
      <c r="E46" s="75" t="str">
        <f aca="false">IF(ISNUMBER(MATCH(20,AccRank,0)),IF(INDEX('Accessories &amp; Services'!$F:$F,INDEX(AccRankRow,MATCH(20,AccRank,0)))="One-Time","One-Time",INDEX('Accessories &amp; Services'!$H:$H,INDEX(AccRankRow,MATCH(20,AccRank,0)))),"")</f>
        <v/>
      </c>
      <c r="F46" s="51" t="str">
        <f aca="false">IF(ISNUMBER(MATCH(20,AccRank,0)),INDEX('Accessories &amp; Services'!$K:$K,INDEX(AccRankRow,MATCH(20,AccRank,0))),"")</f>
        <v/>
      </c>
      <c r="G46" s="70" t="str">
        <f aca="false">IF(ISNUMBER(MATCH(20,AccRank,0)),INDEX('Accessories &amp; Services'!$L:$L,INDEX(AccRankRow,MATCH(20,AccRank,0))),"")</f>
        <v/>
      </c>
      <c r="H46" s="71" t="str">
        <f aca="false">IF(ISNUMBER(MATCH(20,AccRank,0)),INDEX('Accessories &amp; Services'!$M:$M,INDEX(AccRankRow,MATCH(20,AccRank,0))),"")</f>
        <v/>
      </c>
    </row>
    <row r="47" customFormat="false" ht="15" hidden="false" customHeight="true" outlineLevel="0" collapsed="false">
      <c r="E47" s="77" t="s">
        <v>26</v>
      </c>
      <c r="F47" s="77"/>
      <c r="G47" s="77"/>
      <c r="H47" s="34" t="n">
        <f aca="false">Quote_Subtotal</f>
        <v>0</v>
      </c>
    </row>
    <row r="48" customFormat="false" ht="15" hidden="false" customHeight="true" outlineLevel="0" collapsed="false">
      <c r="E48" s="78" t="s">
        <v>23</v>
      </c>
      <c r="F48" s="78"/>
      <c r="G48" s="78"/>
      <c r="H48" s="56" t="n">
        <f aca="false">Freight</f>
        <v>0</v>
      </c>
    </row>
    <row r="49" customFormat="false" ht="15" hidden="false" customHeight="true" outlineLevel="0" collapsed="false">
      <c r="E49" s="78" t="s">
        <v>75</v>
      </c>
      <c r="F49" s="78"/>
      <c r="G49" s="78"/>
      <c r="H49" s="56" t="n">
        <f aca="false">Misc_Charge</f>
        <v>0</v>
      </c>
    </row>
    <row r="50" customFormat="false" ht="15" hidden="false" customHeight="true" outlineLevel="0" collapsed="false">
      <c r="E50" s="78" t="str">
        <f aca="false">CONCATENATE("Tax (",TEXT(Tax_Rate,"0.0%"),")")</f>
        <v>Tax (0.0%)</v>
      </c>
      <c r="F50" s="78"/>
      <c r="G50" s="78"/>
      <c r="H50" s="56" t="n">
        <f aca="false">ROUND(Quote_Subtotal*Tax_Rate,2)</f>
        <v>0</v>
      </c>
    </row>
    <row r="51" customFormat="false" ht="15" hidden="false" customHeight="true" outlineLevel="0" collapsed="false">
      <c r="E51" s="57" t="s">
        <v>76</v>
      </c>
      <c r="F51" s="57"/>
      <c r="G51" s="57"/>
      <c r="H51" s="58" t="n">
        <f aca="false">Quote_GrandTotal</f>
        <v>0</v>
      </c>
    </row>
    <row r="53" customFormat="false" ht="15" hidden="false" customHeight="true" outlineLevel="0" collapsed="false">
      <c r="B53" s="60" t="s">
        <v>86</v>
      </c>
    </row>
    <row r="54" customFormat="false" ht="15" hidden="false" customHeight="true" outlineLevel="0" collapsed="false">
      <c r="B54" s="79" t="str">
        <f aca="false">IF(Cust_Notes="","",Cust_Notes)</f>
        <v/>
      </c>
      <c r="C54" s="79"/>
      <c r="D54" s="79"/>
      <c r="E54" s="79"/>
      <c r="F54" s="79"/>
      <c r="G54" s="79"/>
      <c r="H54" s="79"/>
    </row>
    <row r="55" customFormat="false" ht="15" hidden="false" customHeight="true" outlineLevel="0" collapsed="false">
      <c r="B55" s="79"/>
      <c r="C55" s="79"/>
      <c r="D55" s="79"/>
      <c r="E55" s="79"/>
      <c r="F55" s="79"/>
      <c r="G55" s="79"/>
      <c r="H55" s="79"/>
    </row>
    <row r="56" customFormat="false" ht="15" hidden="false" customHeight="true" outlineLevel="0" collapsed="false">
      <c r="B56" s="79"/>
      <c r="C56" s="79"/>
      <c r="D56" s="79"/>
      <c r="E56" s="79"/>
      <c r="F56" s="79"/>
      <c r="G56" s="79"/>
      <c r="H56" s="79"/>
    </row>
    <row r="58" customFormat="false" ht="20.25" hidden="false" customHeight="true" outlineLevel="0" collapsed="false">
      <c r="B58" s="80" t="s">
        <v>87</v>
      </c>
      <c r="C58" s="80"/>
      <c r="D58" s="80"/>
      <c r="E58" s="80"/>
      <c r="F58" s="80"/>
      <c r="G58" s="80"/>
      <c r="H58" s="80"/>
    </row>
  </sheetData>
  <mergeCells count="12">
    <mergeCell ref="B2:H2"/>
    <mergeCell ref="B3:H3"/>
    <mergeCell ref="B10:H10"/>
    <mergeCell ref="B12:H12"/>
    <mergeCell ref="B25:H25"/>
    <mergeCell ref="E47:G47"/>
    <mergeCell ref="E48:G48"/>
    <mergeCell ref="E49:G49"/>
    <mergeCell ref="E50:G50"/>
    <mergeCell ref="E51:G51"/>
    <mergeCell ref="B54:H56"/>
    <mergeCell ref="B58:H58"/>
  </mergeCells>
  <printOptions headings="false" gridLines="false" gridLinesSet="true" horizontalCentered="false" verticalCentered="false"/>
  <pageMargins left="0.5" right="0.5" top="0.6" bottom="0.6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Thank you for your business  — 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2707A"/>
    <pageSetUpPr fitToPage="true"/>
  </sheetPr>
  <dimension ref="B2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"/>
    <col collapsed="false" customWidth="true" hidden="false" outlineLevel="0" max="3" min="3" style="1" width="112"/>
  </cols>
  <sheetData>
    <row r="2" customFormat="false" ht="30" hidden="false" customHeight="true" outlineLevel="0" collapsed="false">
      <c r="B2" s="81" t="inlineStr">
        <is>
          <t xml:space="preserve">HOW TO USE THIS RENTAL QUOTING TOOL</t>
        </is>
      </c>
      <c r="C2" s="81"/>
    </row>
    <row r="4" customFormat="false" ht="43.5" hidden="false" customHeight="true" outlineLevel="0" collapsed="false">
      <c r="B4" s="82" t="s">
        <v>89</v>
      </c>
      <c r="C4" s="83" t="s">
        <v>90</v>
      </c>
    </row>
    <row r="5" customFormat="false" ht="43.5" hidden="false" customHeight="true" outlineLevel="0" collapsed="false">
      <c r="B5" s="82" t="s">
        <v>91</v>
      </c>
      <c r="C5" s="83" t="inlineStr">
        <is>
          <t xml:space="preserve">Guided Configurator tab — the main interface. For each of up to 10 lines: pick a Device — G7/G8c (cellular; fulfilled from fleet stock as G7c or G8c), G7X, or EXO area monitor, each as Diffusion or Pumped — then individually select the LEL sensor, O2, Toxic 1 and Toxic 2. For EXO devices you can also add an 8-gas Expansion Module (adds 3-4 extra gases and its daily rate, and slots its code into the SKU). Set Qty, Days and Discount.</t>
        </is>
      </c>
    </row>
    <row r="6" customFormat="false" ht="43.5" hidden="false" customHeight="true" outlineLevel="0" collapsed="false">
      <c r="B6" s="82" t="s">
        <v>93</v>
      </c>
      <c r="C6" s="83" t="s">
        <v>94</v>
      </c>
    </row>
    <row r="7" customFormat="false" ht="43.5" hidden="false" customHeight="true" outlineLevel="0" collapsed="false">
      <c r="B7" s="82" t="s">
        <v>95</v>
      </c>
      <c r="C7" s="83" t="s">
        <v>96</v>
      </c>
    </row>
    <row r="8" customFormat="false" ht="43.5" hidden="false" customHeight="true" outlineLevel="0" collapsed="false">
      <c r="B8" s="82" t="s">
        <v>97</v>
      </c>
      <c r="C8" s="83" t="s">
        <v>98</v>
      </c>
    </row>
    <row r="9" customFormat="false" ht="43.5" hidden="false" customHeight="true" outlineLevel="0" collapsed="false">
      <c r="B9" s="82" t="s">
        <v>99</v>
      </c>
      <c r="C9" s="83" t="s">
        <v>100</v>
      </c>
    </row>
    <row r="11" customFormat="false" ht="19.5" hidden="false" customHeight="true" outlineLevel="0" collapsed="false">
      <c r="B11" s="84" t="s">
        <v>101</v>
      </c>
      <c r="C11" s="84"/>
    </row>
    <row r="12" customFormat="false" ht="30" hidden="false" customHeight="true" outlineLevel="0" collapsed="false">
      <c r="C12" s="83" t="inlineStr">
        <is>
          <t xml:space="preserve">• Configured daily rate = Base rental rate (device) + sensor upgrade daily rates + EXO 8-gas expansion module daily rate (if selected). EXO Pumped = EXO base + pump module, both from the Pricing Database.</t>
        </is>
      </c>
    </row>
    <row r="13" customFormat="false" ht="30" hidden="false" customHeight="true" outlineLevel="0" collapsed="false">
      <c r="C13" s="83" t="s">
        <v>103</v>
      </c>
    </row>
    <row r="14" customFormat="false" ht="30" hidden="false" customHeight="true" outlineLevel="0" collapsed="false">
      <c r="C14" s="83" t="s">
        <v>104</v>
      </c>
    </row>
    <row r="15" customFormat="false" ht="30" hidden="false" customHeight="true" outlineLevel="0" collapsed="false">
      <c r="C15" s="83" t="s">
        <v>105</v>
      </c>
    </row>
    <row r="16" customFormat="false" ht="30" hidden="false" customHeight="true" outlineLevel="0" collapsed="false">
      <c r="C16" s="83" t="inlineStr">
        <is>
          <t xml:space="preserve">• Config code follows the rental quote SKU convention: RENT-G7C-Q-DIOV-1D (Q = diffusion cartridge, P = pumped; 4 sensor letters sorted ascending, X = empty slot). EXO: RENT-EXO-{module code or X}-{P or X}-{sensor letters}-1D. G7/G8c lines keep the RENT-G7C SKU root — fleet ships G7c or G8c cellular against it.</t>
        </is>
      </c>
    </row>
    <row r="17" customFormat="false" ht="30" hidden="false" customHeight="true" outlineLevel="0" collapsed="false">
      <c r="C17" s="83" t="s">
        <v>107</v>
      </c>
    </row>
    <row r="18" customFormat="false" ht="30" hidden="false" customHeight="true" outlineLevel="0" collapsed="false">
      <c r="C18" s="83" t="s">
        <v>108</v>
      </c>
    </row>
    <row r="19" customFormat="false" ht="30" hidden="false" customHeight="true" outlineLevel="0" collapsed="false">
      <c r="C19" s="83" t="s">
        <v>109</v>
      </c>
    </row>
    <row r="20" customFormat="false" ht="30" hidden="false" customHeight="true" outlineLevel="0" collapsed="false">
      <c r="C20" s="83" t="s">
        <v>110</v>
      </c>
    </row>
    <row r="22" customFormat="false" ht="15" hidden="false" customHeight="true" outlineLevel="0" collapsed="false">
      <c r="B22" s="85" t="s">
        <v>111</v>
      </c>
      <c r="C22" s="85"/>
    </row>
    <row r="23" customFormat="false" ht="15" hidden="false" customHeight="true" outlineLevel="0" collapsed="false">
      <c r="B23" s="86" t="s">
        <v>112</v>
      </c>
      <c r="C23" s="87" t="s">
        <v>113</v>
      </c>
    </row>
    <row r="24" customFormat="false" ht="15" hidden="false" customHeight="true" outlineLevel="0" collapsed="false">
      <c r="B24" s="88" t="s">
        <v>114</v>
      </c>
      <c r="C24" s="87" t="s">
        <v>115</v>
      </c>
    </row>
  </sheetData>
  <mergeCells count="3">
    <mergeCell ref="B2:C2"/>
    <mergeCell ref="B11:C11"/>
    <mergeCell ref="B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28"/>
    <col collapsed="false" customWidth="true" hidden="false" outlineLevel="0" max="4" min="4" style="1" width="64"/>
    <col collapsed="false" customWidth="true" hidden="false" outlineLevel="0" max="5" min="5" style="1" width="12"/>
    <col collapsed="false" customWidth="true" hidden="false" outlineLevel="0" max="6" min="6" style="1" width="10"/>
  </cols>
  <sheetData>
    <row r="1" customFormat="false" ht="15.75" hidden="false" customHeight="true" outlineLevel="0" collapsed="false">
      <c r="A1" s="89" t="s">
        <v>116</v>
      </c>
    </row>
    <row r="2" customFormat="false" ht="15" hidden="false" customHeight="true" outlineLevel="0" collapsed="false">
      <c r="A2" s="90" t="s">
        <v>117</v>
      </c>
      <c r="B2" s="90"/>
      <c r="C2" s="90"/>
      <c r="D2" s="90"/>
      <c r="E2" s="90"/>
      <c r="F2" s="90"/>
    </row>
    <row r="4" customFormat="false" ht="23.25" hidden="false" customHeight="true" outlineLevel="0" collapsed="false">
      <c r="A4" s="91" t="s">
        <v>58</v>
      </c>
      <c r="B4" s="91" t="s">
        <v>118</v>
      </c>
      <c r="C4" s="91" t="s">
        <v>56</v>
      </c>
      <c r="D4" s="91" t="s">
        <v>57</v>
      </c>
      <c r="E4" s="91" t="s">
        <v>60</v>
      </c>
      <c r="F4" s="91" t="s">
        <v>119</v>
      </c>
    </row>
    <row r="5" customFormat="false" ht="15" hidden="false" customHeight="true" outlineLevel="0" collapsed="false">
      <c r="A5" s="92" t="s">
        <v>120</v>
      </c>
      <c r="B5" s="92" t="s">
        <v>121</v>
      </c>
      <c r="C5" s="92" t="s">
        <v>121</v>
      </c>
      <c r="D5" s="92" t="s">
        <v>122</v>
      </c>
      <c r="E5" s="93" t="n">
        <v>8</v>
      </c>
      <c r="F5" s="92" t="n">
        <v>6</v>
      </c>
    </row>
    <row r="6" customFormat="false" ht="15" hidden="false" customHeight="true" outlineLevel="0" collapsed="false">
      <c r="A6" s="94" t="s">
        <v>120</v>
      </c>
      <c r="B6" s="94" t="s">
        <v>123</v>
      </c>
      <c r="C6" s="94" t="s">
        <v>123</v>
      </c>
      <c r="D6" s="94" t="s">
        <v>124</v>
      </c>
      <c r="E6" s="95" t="n">
        <v>14.4</v>
      </c>
      <c r="F6" s="94" t="n">
        <v>7</v>
      </c>
    </row>
    <row r="7" customFormat="false" ht="15" hidden="false" customHeight="true" outlineLevel="0" collapsed="false">
      <c r="A7" s="92" t="s">
        <v>125</v>
      </c>
      <c r="B7" s="92" t="s">
        <v>126</v>
      </c>
      <c r="C7" s="92" t="s">
        <v>126</v>
      </c>
      <c r="D7" s="92" t="s">
        <v>127</v>
      </c>
      <c r="E7" s="93" t="n">
        <v>6.4</v>
      </c>
      <c r="F7" s="92" t="n">
        <v>10</v>
      </c>
    </row>
    <row r="8" customFormat="false" ht="15" hidden="false" customHeight="true" outlineLevel="0" collapsed="false">
      <c r="A8" s="94" t="s">
        <v>125</v>
      </c>
      <c r="B8" s="94" t="s">
        <v>128</v>
      </c>
      <c r="C8" s="94" t="s">
        <v>128</v>
      </c>
      <c r="D8" s="94" t="s">
        <v>129</v>
      </c>
      <c r="E8" s="95" t="n">
        <v>8</v>
      </c>
      <c r="F8" s="94" t="n">
        <v>11</v>
      </c>
    </row>
    <row r="9" customFormat="false" ht="15" hidden="false" customHeight="true" outlineLevel="0" collapsed="false">
      <c r="A9" s="92" t="s">
        <v>130</v>
      </c>
      <c r="B9" s="92" t="s">
        <v>131</v>
      </c>
      <c r="C9" s="92" t="s">
        <v>131</v>
      </c>
      <c r="D9" s="92" t="s">
        <v>132</v>
      </c>
      <c r="E9" s="93" t="n">
        <v>8</v>
      </c>
      <c r="F9" s="92" t="n">
        <v>14</v>
      </c>
    </row>
    <row r="10" customFormat="false" ht="15" hidden="false" customHeight="true" outlineLevel="0" collapsed="false">
      <c r="A10" s="94" t="s">
        <v>130</v>
      </c>
      <c r="B10" s="94" t="s">
        <v>133</v>
      </c>
      <c r="C10" s="94" t="s">
        <v>133</v>
      </c>
      <c r="D10" s="94" t="s">
        <v>134</v>
      </c>
      <c r="E10" s="95" t="n">
        <v>14.4</v>
      </c>
      <c r="F10" s="94" t="n">
        <v>15</v>
      </c>
    </row>
    <row r="11" customFormat="false" ht="15" hidden="false" customHeight="true" outlineLevel="0" collapsed="false">
      <c r="A11" s="92" t="s">
        <v>135</v>
      </c>
      <c r="B11" s="92" t="s">
        <v>136</v>
      </c>
      <c r="C11" s="92" t="s">
        <v>136</v>
      </c>
      <c r="D11" s="92" t="s">
        <v>137</v>
      </c>
      <c r="E11" s="93" t="n">
        <v>6.4</v>
      </c>
      <c r="F11" s="92" t="n">
        <v>18</v>
      </c>
    </row>
    <row r="12" customFormat="false" ht="15" hidden="false" customHeight="true" outlineLevel="0" collapsed="false">
      <c r="A12" s="94" t="s">
        <v>135</v>
      </c>
      <c r="B12" s="94" t="s">
        <v>138</v>
      </c>
      <c r="C12" s="94" t="s">
        <v>138</v>
      </c>
      <c r="D12" s="94" t="s">
        <v>139</v>
      </c>
      <c r="E12" s="95" t="n">
        <v>8</v>
      </c>
      <c r="F12" s="94" t="n">
        <v>19</v>
      </c>
    </row>
    <row r="13" customFormat="false" ht="15" hidden="false" customHeight="true" outlineLevel="0" collapsed="false">
      <c r="A13" s="92" t="s">
        <v>140</v>
      </c>
      <c r="B13" s="92" t="s">
        <v>141</v>
      </c>
      <c r="C13" s="92" t="s">
        <v>141</v>
      </c>
      <c r="D13" s="92" t="s">
        <v>142</v>
      </c>
      <c r="E13" s="93" t="n">
        <v>12.8</v>
      </c>
      <c r="F13" s="92" t="n">
        <v>22</v>
      </c>
    </row>
    <row r="14" customFormat="false" ht="15" hidden="false" customHeight="true" outlineLevel="0" collapsed="false">
      <c r="A14" s="94" t="s">
        <v>143</v>
      </c>
      <c r="B14" s="94" t="s">
        <v>144</v>
      </c>
      <c r="C14" s="94" t="s">
        <v>144</v>
      </c>
      <c r="D14" s="94" t="s">
        <v>145</v>
      </c>
      <c r="E14" s="95" t="n">
        <v>33.6</v>
      </c>
      <c r="F14" s="94" t="n">
        <v>25</v>
      </c>
    </row>
    <row r="15" customFormat="false" ht="15" hidden="false" customHeight="true" outlineLevel="0" collapsed="false">
      <c r="A15" s="92" t="s">
        <v>143</v>
      </c>
      <c r="B15" s="92" t="s">
        <v>146</v>
      </c>
      <c r="C15" s="92" t="s">
        <v>146</v>
      </c>
      <c r="D15" s="92" t="s">
        <v>147</v>
      </c>
      <c r="E15" s="93" t="n">
        <v>12</v>
      </c>
      <c r="F15" s="92" t="n">
        <v>26</v>
      </c>
    </row>
    <row r="16" customFormat="false" ht="15" hidden="false" customHeight="true" outlineLevel="0" collapsed="false">
      <c r="A16" s="94" t="s">
        <v>143</v>
      </c>
      <c r="B16" s="94" t="s">
        <v>148</v>
      </c>
      <c r="C16" s="94" t="s">
        <v>148</v>
      </c>
      <c r="D16" s="94" t="s">
        <v>149</v>
      </c>
      <c r="E16" s="95" t="n">
        <v>28</v>
      </c>
      <c r="F16" s="94" t="n">
        <v>27</v>
      </c>
    </row>
    <row r="17" customFormat="false" ht="15" hidden="false" customHeight="true" outlineLevel="0" collapsed="false">
      <c r="A17" s="92" t="s">
        <v>143</v>
      </c>
      <c r="B17" s="92" t="s">
        <v>150</v>
      </c>
      <c r="C17" s="92" t="s">
        <v>150</v>
      </c>
      <c r="D17" s="92" t="s">
        <v>151</v>
      </c>
      <c r="E17" s="93" t="n">
        <v>4</v>
      </c>
      <c r="F17" s="92" t="n">
        <v>28</v>
      </c>
    </row>
    <row r="18" customFormat="false" ht="15" hidden="false" customHeight="true" outlineLevel="0" collapsed="false">
      <c r="A18" s="94" t="s">
        <v>152</v>
      </c>
      <c r="B18" s="94" t="s">
        <v>153</v>
      </c>
      <c r="C18" s="94" t="s">
        <v>153</v>
      </c>
      <c r="D18" s="94" t="s">
        <v>154</v>
      </c>
      <c r="E18" s="95" t="n">
        <v>28</v>
      </c>
      <c r="F18" s="94" t="n">
        <v>31</v>
      </c>
    </row>
    <row r="19" customFormat="false" ht="15" hidden="false" customHeight="true" outlineLevel="0" collapsed="false">
      <c r="A19" s="92" t="s">
        <v>152</v>
      </c>
      <c r="B19" s="92" t="s">
        <v>155</v>
      </c>
      <c r="C19" s="92" t="s">
        <v>155</v>
      </c>
      <c r="D19" s="92" t="s">
        <v>156</v>
      </c>
      <c r="E19" s="93" t="n">
        <v>44</v>
      </c>
      <c r="F19" s="92" t="n">
        <v>32</v>
      </c>
    </row>
    <row r="20" customFormat="false" ht="15" hidden="false" customHeight="true" outlineLevel="0" collapsed="false">
      <c r="A20" s="94" t="s">
        <v>152</v>
      </c>
      <c r="B20" s="94" t="s">
        <v>157</v>
      </c>
      <c r="C20" s="94" t="s">
        <v>157</v>
      </c>
      <c r="D20" s="94" t="s">
        <v>158</v>
      </c>
      <c r="E20" s="95" t="n">
        <v>36</v>
      </c>
      <c r="F20" s="94" t="n">
        <v>33</v>
      </c>
    </row>
    <row r="21" customFormat="false" ht="15" hidden="false" customHeight="true" outlineLevel="0" collapsed="false">
      <c r="A21" s="92" t="s">
        <v>152</v>
      </c>
      <c r="B21" s="92" t="s">
        <v>159</v>
      </c>
      <c r="C21" s="92" t="s">
        <v>159</v>
      </c>
      <c r="D21" s="92" t="s">
        <v>160</v>
      </c>
      <c r="E21" s="93" t="n">
        <v>20</v>
      </c>
      <c r="F21" s="92" t="n">
        <v>34</v>
      </c>
    </row>
    <row r="22" customFormat="false" ht="15" hidden="false" customHeight="true" outlineLevel="0" collapsed="false">
      <c r="A22" s="94" t="s">
        <v>152</v>
      </c>
      <c r="B22" s="94" t="s">
        <v>161</v>
      </c>
      <c r="C22" s="94" t="s">
        <v>161</v>
      </c>
      <c r="D22" s="94" t="s">
        <v>162</v>
      </c>
      <c r="E22" s="95" t="n">
        <v>40</v>
      </c>
      <c r="F22" s="94" t="n">
        <v>35</v>
      </c>
    </row>
    <row r="23" customFormat="false" ht="15" hidden="false" customHeight="true" outlineLevel="0" collapsed="false">
      <c r="A23" s="92" t="s">
        <v>152</v>
      </c>
      <c r="B23" s="92" t="s">
        <v>163</v>
      </c>
      <c r="C23" s="92" t="s">
        <v>163</v>
      </c>
      <c r="D23" s="92" t="s">
        <v>164</v>
      </c>
      <c r="E23" s="93" t="n">
        <v>40</v>
      </c>
      <c r="F23" s="92" t="n">
        <v>36</v>
      </c>
    </row>
    <row r="24" customFormat="false" ht="15" hidden="false" customHeight="true" outlineLevel="0" collapsed="false">
      <c r="A24" s="94" t="s">
        <v>152</v>
      </c>
      <c r="B24" s="94" t="s">
        <v>165</v>
      </c>
      <c r="C24" s="94" t="s">
        <v>165</v>
      </c>
      <c r="D24" s="94" t="s">
        <v>166</v>
      </c>
      <c r="E24" s="95" t="n">
        <v>40</v>
      </c>
      <c r="F24" s="94" t="n">
        <v>37</v>
      </c>
    </row>
    <row r="25" customFormat="false" ht="15" hidden="false" customHeight="true" outlineLevel="0" collapsed="false">
      <c r="A25" s="92" t="s">
        <v>152</v>
      </c>
      <c r="B25" s="92" t="s">
        <v>167</v>
      </c>
      <c r="C25" s="92" t="s">
        <v>167</v>
      </c>
      <c r="D25" s="92" t="s">
        <v>168</v>
      </c>
      <c r="E25" s="93" t="n">
        <v>36</v>
      </c>
      <c r="F25" s="92" t="n">
        <v>38</v>
      </c>
    </row>
    <row r="26" customFormat="false" ht="15" hidden="false" customHeight="true" outlineLevel="0" collapsed="false">
      <c r="A26" s="94" t="s">
        <v>152</v>
      </c>
      <c r="B26" s="94" t="s">
        <v>169</v>
      </c>
      <c r="C26" s="94" t="s">
        <v>169</v>
      </c>
      <c r="D26" s="94" t="s">
        <v>170</v>
      </c>
      <c r="E26" s="95" t="n">
        <v>48</v>
      </c>
      <c r="F26" s="94" t="n">
        <v>39</v>
      </c>
    </row>
    <row r="27" customFormat="false" ht="15" hidden="false" customHeight="true" outlineLevel="0" collapsed="false">
      <c r="A27" s="92" t="s">
        <v>152</v>
      </c>
      <c r="B27" s="92" t="s">
        <v>171</v>
      </c>
      <c r="C27" s="92" t="s">
        <v>171</v>
      </c>
      <c r="D27" s="92" t="s">
        <v>172</v>
      </c>
      <c r="E27" s="93" t="n">
        <v>36</v>
      </c>
      <c r="F27" s="92" t="n">
        <v>40</v>
      </c>
    </row>
    <row r="28" customFormat="false" ht="15" hidden="false" customHeight="true" outlineLevel="0" collapsed="false">
      <c r="A28" s="94" t="s">
        <v>152</v>
      </c>
      <c r="B28" s="94" t="s">
        <v>173</v>
      </c>
      <c r="C28" s="94" t="s">
        <v>173</v>
      </c>
      <c r="D28" s="94" t="s">
        <v>174</v>
      </c>
      <c r="E28" s="95" t="n">
        <v>28</v>
      </c>
      <c r="F28" s="94" t="n">
        <v>41</v>
      </c>
    </row>
    <row r="29" customFormat="false" ht="15" hidden="false" customHeight="true" outlineLevel="0" collapsed="false">
      <c r="A29" s="92" t="s">
        <v>175</v>
      </c>
      <c r="B29" s="92" t="s">
        <v>176</v>
      </c>
      <c r="C29" s="92" t="s">
        <v>176</v>
      </c>
      <c r="D29" s="92" t="s">
        <v>177</v>
      </c>
      <c r="E29" s="93" t="n">
        <v>3.2</v>
      </c>
      <c r="F29" s="92" t="n">
        <v>44</v>
      </c>
    </row>
    <row r="30" customFormat="false" ht="15" hidden="false" customHeight="true" outlineLevel="0" collapsed="false">
      <c r="A30" s="94" t="s">
        <v>175</v>
      </c>
      <c r="B30" s="94" t="s">
        <v>178</v>
      </c>
      <c r="C30" s="94" t="s">
        <v>178</v>
      </c>
      <c r="D30" s="94" t="s">
        <v>179</v>
      </c>
      <c r="E30" s="95" t="n">
        <v>8</v>
      </c>
      <c r="F30" s="94" t="n">
        <v>45</v>
      </c>
    </row>
    <row r="31" customFormat="false" ht="15" hidden="false" customHeight="true" outlineLevel="0" collapsed="false">
      <c r="A31" s="92" t="s">
        <v>175</v>
      </c>
      <c r="B31" s="92" t="s">
        <v>180</v>
      </c>
      <c r="C31" s="92" t="s">
        <v>180</v>
      </c>
      <c r="D31" s="92" t="s">
        <v>181</v>
      </c>
      <c r="E31" s="93" t="n">
        <v>12</v>
      </c>
      <c r="F31" s="92" t="n">
        <v>46</v>
      </c>
    </row>
    <row r="32" customFormat="false" ht="15" hidden="false" customHeight="true" outlineLevel="0" collapsed="false">
      <c r="A32" s="94" t="s">
        <v>175</v>
      </c>
      <c r="B32" s="94" t="s">
        <v>182</v>
      </c>
      <c r="C32" s="94" t="s">
        <v>182</v>
      </c>
      <c r="D32" s="94" t="s">
        <v>183</v>
      </c>
      <c r="E32" s="95" t="n">
        <v>4.8</v>
      </c>
      <c r="F32" s="94" t="n">
        <v>47</v>
      </c>
    </row>
    <row r="33" customFormat="false" ht="15" hidden="false" customHeight="true" outlineLevel="0" collapsed="false">
      <c r="A33" s="92" t="s">
        <v>175</v>
      </c>
      <c r="B33" s="92" t="s">
        <v>184</v>
      </c>
      <c r="C33" s="92" t="s">
        <v>184</v>
      </c>
      <c r="D33" s="92" t="s">
        <v>185</v>
      </c>
      <c r="E33" s="93" t="n">
        <v>8</v>
      </c>
      <c r="F33" s="92" t="n">
        <v>48</v>
      </c>
    </row>
    <row r="34" customFormat="false" ht="15" hidden="false" customHeight="true" outlineLevel="0" collapsed="false">
      <c r="A34" s="94" t="s">
        <v>186</v>
      </c>
      <c r="B34" s="94" t="s">
        <v>66</v>
      </c>
      <c r="C34" s="94" t="s">
        <v>66</v>
      </c>
      <c r="D34" s="94" t="s">
        <v>187</v>
      </c>
      <c r="E34" s="95" t="n">
        <v>2.4</v>
      </c>
      <c r="F34" s="94" t="n">
        <v>51</v>
      </c>
    </row>
    <row r="35" customFormat="false" ht="15" hidden="false" customHeight="true" outlineLevel="0" collapsed="false">
      <c r="A35" s="92" t="s">
        <v>186</v>
      </c>
      <c r="B35" s="92" t="s">
        <v>188</v>
      </c>
      <c r="C35" s="92" t="s">
        <v>188</v>
      </c>
      <c r="D35" s="92" t="s">
        <v>189</v>
      </c>
      <c r="E35" s="93" t="n">
        <v>2</v>
      </c>
      <c r="F35" s="92" t="n">
        <v>52</v>
      </c>
    </row>
    <row r="36" customFormat="false" ht="15" hidden="false" customHeight="true" outlineLevel="0" collapsed="false">
      <c r="A36" s="94" t="s">
        <v>186</v>
      </c>
      <c r="B36" s="94" t="s">
        <v>190</v>
      </c>
      <c r="C36" s="94" t="s">
        <v>190</v>
      </c>
      <c r="D36" s="94" t="s">
        <v>191</v>
      </c>
      <c r="E36" s="95" t="n">
        <v>3.2</v>
      </c>
      <c r="F36" s="94" t="n">
        <v>53</v>
      </c>
    </row>
    <row r="37" customFormat="false" ht="15" hidden="false" customHeight="true" outlineLevel="0" collapsed="false">
      <c r="A37" s="92" t="s">
        <v>186</v>
      </c>
      <c r="B37" s="92" t="s">
        <v>192</v>
      </c>
      <c r="C37" s="92" t="s">
        <v>192</v>
      </c>
      <c r="D37" s="92" t="s">
        <v>193</v>
      </c>
      <c r="E37" s="93" t="n">
        <v>8</v>
      </c>
      <c r="F37" s="92" t="n">
        <v>54</v>
      </c>
    </row>
    <row r="38" customFormat="false" ht="15" hidden="false" customHeight="true" outlineLevel="0" collapsed="false">
      <c r="A38" s="94" t="s">
        <v>186</v>
      </c>
      <c r="B38" s="94" t="s">
        <v>194</v>
      </c>
      <c r="C38" s="94" t="s">
        <v>194</v>
      </c>
      <c r="D38" s="94" t="s">
        <v>195</v>
      </c>
      <c r="E38" s="95" t="n">
        <v>52</v>
      </c>
      <c r="F38" s="94" t="n">
        <v>55</v>
      </c>
    </row>
    <row r="39" customFormat="false" ht="15" hidden="false" customHeight="true" outlineLevel="0" collapsed="false">
      <c r="A39" s="92" t="s">
        <v>186</v>
      </c>
      <c r="B39" s="92" t="s">
        <v>196</v>
      </c>
      <c r="C39" s="92" t="s">
        <v>196</v>
      </c>
      <c r="D39" s="92" t="s">
        <v>197</v>
      </c>
      <c r="E39" s="93" t="n">
        <v>12.8</v>
      </c>
      <c r="F39" s="92" t="n">
        <v>56</v>
      </c>
    </row>
    <row r="40" customFormat="false" ht="15" hidden="false" customHeight="true" outlineLevel="0" collapsed="false">
      <c r="A40" s="94" t="s">
        <v>186</v>
      </c>
      <c r="B40" s="94" t="s">
        <v>198</v>
      </c>
      <c r="C40" s="94" t="s">
        <v>198</v>
      </c>
      <c r="D40" s="94" t="s">
        <v>199</v>
      </c>
      <c r="E40" s="95" t="n">
        <v>17.6</v>
      </c>
      <c r="F40" s="94" t="n">
        <v>57</v>
      </c>
    </row>
    <row r="41" customFormat="false" ht="15" hidden="false" customHeight="true" outlineLevel="0" collapsed="false">
      <c r="A41" s="92" t="s">
        <v>186</v>
      </c>
      <c r="B41" s="92" t="s">
        <v>200</v>
      </c>
      <c r="C41" s="92" t="s">
        <v>200</v>
      </c>
      <c r="D41" s="92" t="s">
        <v>201</v>
      </c>
      <c r="E41" s="93" t="n">
        <v>4.8</v>
      </c>
      <c r="F41" s="92" t="n">
        <v>58</v>
      </c>
    </row>
    <row r="42" customFormat="false" ht="15" hidden="false" customHeight="true" outlineLevel="0" collapsed="false">
      <c r="A42" s="94" t="s">
        <v>186</v>
      </c>
      <c r="B42" s="94" t="s">
        <v>202</v>
      </c>
      <c r="C42" s="94" t="s">
        <v>202</v>
      </c>
      <c r="D42" s="94" t="s">
        <v>203</v>
      </c>
      <c r="E42" s="95" t="n">
        <v>2.4</v>
      </c>
      <c r="F42" s="94" t="n">
        <v>59</v>
      </c>
    </row>
    <row r="43" customFormat="false" ht="15" hidden="false" customHeight="true" outlineLevel="0" collapsed="false">
      <c r="A43" s="92" t="s">
        <v>186</v>
      </c>
      <c r="B43" s="92" t="s">
        <v>204</v>
      </c>
      <c r="C43" s="92" t="s">
        <v>204</v>
      </c>
      <c r="D43" s="92" t="s">
        <v>205</v>
      </c>
      <c r="E43" s="93" t="n">
        <v>4.8</v>
      </c>
      <c r="F43" s="92" t="n">
        <v>60</v>
      </c>
    </row>
    <row r="44" customFormat="false" ht="15" hidden="false" customHeight="true" outlineLevel="0" collapsed="false">
      <c r="A44" s="94" t="s">
        <v>186</v>
      </c>
      <c r="B44" s="94" t="s">
        <v>206</v>
      </c>
      <c r="C44" s="94" t="s">
        <v>206</v>
      </c>
      <c r="D44" s="94" t="s">
        <v>207</v>
      </c>
      <c r="E44" s="95" t="n">
        <v>1.6</v>
      </c>
      <c r="F44" s="94" t="n">
        <v>61</v>
      </c>
    </row>
    <row r="45" customFormat="false" ht="15" hidden="false" customHeight="true" outlineLevel="0" collapsed="false">
      <c r="A45" s="92" t="s">
        <v>208</v>
      </c>
      <c r="B45" s="92" t="s">
        <v>209</v>
      </c>
      <c r="C45" s="92" t="s">
        <v>209</v>
      </c>
      <c r="D45" s="92" t="s">
        <v>210</v>
      </c>
      <c r="E45" s="93" t="n">
        <v>4.8</v>
      </c>
      <c r="F45" s="92" t="n">
        <v>64</v>
      </c>
    </row>
    <row r="46" customFormat="false" ht="15" hidden="false" customHeight="true" outlineLevel="0" collapsed="false">
      <c r="A46" s="94" t="s">
        <v>208</v>
      </c>
      <c r="B46" s="94" t="s">
        <v>211</v>
      </c>
      <c r="C46" s="94" t="s">
        <v>211</v>
      </c>
      <c r="D46" s="94" t="s">
        <v>212</v>
      </c>
      <c r="E46" s="95" t="n">
        <v>1.6</v>
      </c>
      <c r="F46" s="94" t="n">
        <v>65</v>
      </c>
    </row>
    <row r="47" customFormat="false" ht="15" hidden="false" customHeight="true" outlineLevel="0" collapsed="false">
      <c r="A47" s="92" t="s">
        <v>208</v>
      </c>
      <c r="B47" s="92" t="s">
        <v>213</v>
      </c>
      <c r="C47" s="92" t="s">
        <v>213</v>
      </c>
      <c r="D47" s="92" t="s">
        <v>214</v>
      </c>
      <c r="E47" s="93" t="n">
        <v>24</v>
      </c>
      <c r="F47" s="92" t="n">
        <v>66</v>
      </c>
    </row>
    <row r="48" customFormat="false" ht="15" hidden="false" customHeight="true" outlineLevel="0" collapsed="false">
      <c r="A48" s="94" t="s">
        <v>208</v>
      </c>
      <c r="B48" s="94" t="s">
        <v>215</v>
      </c>
      <c r="C48" s="94" t="s">
        <v>215</v>
      </c>
      <c r="D48" s="94" t="s">
        <v>216</v>
      </c>
      <c r="E48" s="95" t="n">
        <v>2.4</v>
      </c>
      <c r="F48" s="94" t="n">
        <v>67</v>
      </c>
    </row>
    <row r="49" customFormat="false" ht="15" hidden="false" customHeight="true" outlineLevel="0" collapsed="false">
      <c r="A49" s="92" t="s">
        <v>208</v>
      </c>
      <c r="B49" s="92" t="s">
        <v>217</v>
      </c>
      <c r="C49" s="92" t="s">
        <v>217</v>
      </c>
      <c r="D49" s="92" t="s">
        <v>218</v>
      </c>
      <c r="E49" s="93" t="n">
        <v>14.4</v>
      </c>
      <c r="F49" s="92" t="n">
        <v>68</v>
      </c>
    </row>
    <row r="50" customFormat="false" ht="15" hidden="false" customHeight="true" outlineLevel="0" collapsed="false">
      <c r="A50" s="94" t="s">
        <v>208</v>
      </c>
      <c r="B50" s="94" t="s">
        <v>219</v>
      </c>
      <c r="C50" s="94" t="s">
        <v>219</v>
      </c>
      <c r="D50" s="94" t="s">
        <v>220</v>
      </c>
      <c r="E50" s="95" t="n">
        <v>11.2</v>
      </c>
      <c r="F50" s="94" t="n">
        <v>69</v>
      </c>
    </row>
    <row r="51" customFormat="false" ht="15" hidden="false" customHeight="true" outlineLevel="0" collapsed="false">
      <c r="A51" s="92" t="s">
        <v>208</v>
      </c>
      <c r="B51" s="92" t="s">
        <v>221</v>
      </c>
      <c r="C51" s="92" t="s">
        <v>221</v>
      </c>
      <c r="D51" s="92" t="s">
        <v>222</v>
      </c>
      <c r="E51" s="93" t="n">
        <v>7.2</v>
      </c>
      <c r="F51" s="92" t="n">
        <v>70</v>
      </c>
    </row>
    <row r="52" customFormat="false" ht="15" hidden="false" customHeight="true" outlineLevel="0" collapsed="false">
      <c r="A52" s="94" t="s">
        <v>208</v>
      </c>
      <c r="B52" s="94" t="s">
        <v>223</v>
      </c>
      <c r="C52" s="94" t="s">
        <v>223</v>
      </c>
      <c r="D52" s="94" t="s">
        <v>224</v>
      </c>
      <c r="E52" s="95" t="n">
        <v>6.4</v>
      </c>
      <c r="F52" s="94" t="n">
        <v>71</v>
      </c>
    </row>
    <row r="53" customFormat="false" ht="15" hidden="false" customHeight="true" outlineLevel="0" collapsed="false">
      <c r="A53" s="92" t="s">
        <v>208</v>
      </c>
      <c r="B53" s="92" t="s">
        <v>225</v>
      </c>
      <c r="C53" s="92" t="s">
        <v>225</v>
      </c>
      <c r="D53" s="92" t="s">
        <v>226</v>
      </c>
      <c r="E53" s="93" t="n">
        <v>4.8</v>
      </c>
      <c r="F53" s="92" t="n">
        <v>72</v>
      </c>
    </row>
    <row r="54" customFormat="false" ht="15" hidden="false" customHeight="true" outlineLevel="0" collapsed="false">
      <c r="A54" s="94" t="s">
        <v>208</v>
      </c>
      <c r="B54" s="94" t="s">
        <v>227</v>
      </c>
      <c r="C54" s="94" t="s">
        <v>227</v>
      </c>
      <c r="D54" s="94" t="s">
        <v>228</v>
      </c>
      <c r="E54" s="95" t="n">
        <v>0.8</v>
      </c>
      <c r="F54" s="94" t="n">
        <v>73</v>
      </c>
    </row>
    <row r="55" customFormat="false" ht="15" hidden="false" customHeight="true" outlineLevel="0" collapsed="false">
      <c r="A55" s="92" t="s">
        <v>208</v>
      </c>
      <c r="B55" s="92" t="s">
        <v>229</v>
      </c>
      <c r="C55" s="92" t="s">
        <v>229</v>
      </c>
      <c r="D55" s="92" t="s">
        <v>230</v>
      </c>
      <c r="E55" s="93" t="n">
        <v>6.4</v>
      </c>
      <c r="F55" s="92" t="n">
        <v>74</v>
      </c>
    </row>
    <row r="56" customFormat="false" ht="15" hidden="false" customHeight="true" outlineLevel="0" collapsed="false">
      <c r="A56" s="94" t="s">
        <v>208</v>
      </c>
      <c r="B56" s="94" t="s">
        <v>231</v>
      </c>
      <c r="C56" s="94" t="s">
        <v>231</v>
      </c>
      <c r="D56" s="94" t="s">
        <v>232</v>
      </c>
      <c r="E56" s="95" t="n">
        <v>4.8</v>
      </c>
      <c r="F56" s="94" t="n">
        <v>75</v>
      </c>
    </row>
    <row r="57" customFormat="false" ht="15" hidden="false" customHeight="true" outlineLevel="0" collapsed="false">
      <c r="A57" s="92" t="s">
        <v>233</v>
      </c>
      <c r="B57" s="92" t="s">
        <v>234</v>
      </c>
      <c r="C57" s="92" t="s">
        <v>234</v>
      </c>
      <c r="D57" s="92" t="s">
        <v>235</v>
      </c>
      <c r="E57" s="93" t="n">
        <v>2.4</v>
      </c>
      <c r="F57" s="92" t="n">
        <v>78</v>
      </c>
    </row>
    <row r="58" customFormat="false" ht="15" hidden="false" customHeight="true" outlineLevel="0" collapsed="false">
      <c r="A58" s="94" t="s">
        <v>233</v>
      </c>
      <c r="B58" s="94" t="s">
        <v>236</v>
      </c>
      <c r="C58" s="94" t="s">
        <v>236</v>
      </c>
      <c r="D58" s="94" t="s">
        <v>237</v>
      </c>
      <c r="E58" s="95" t="n">
        <v>4</v>
      </c>
      <c r="F58" s="94" t="n">
        <v>79</v>
      </c>
    </row>
    <row r="59" customFormat="false" ht="15" hidden="false" customHeight="true" outlineLevel="0" collapsed="false">
      <c r="A59" s="92" t="s">
        <v>233</v>
      </c>
      <c r="B59" s="92" t="s">
        <v>238</v>
      </c>
      <c r="C59" s="92" t="s">
        <v>238</v>
      </c>
      <c r="D59" s="92" t="s">
        <v>239</v>
      </c>
      <c r="E59" s="93" t="n">
        <v>4</v>
      </c>
      <c r="F59" s="92" t="n">
        <v>80</v>
      </c>
    </row>
    <row r="60" customFormat="false" ht="15" hidden="false" customHeight="true" outlineLevel="0" collapsed="false">
      <c r="A60" s="94" t="s">
        <v>233</v>
      </c>
      <c r="B60" s="94" t="s">
        <v>240</v>
      </c>
      <c r="C60" s="94" t="s">
        <v>240</v>
      </c>
      <c r="D60" s="94" t="s">
        <v>241</v>
      </c>
      <c r="E60" s="95" t="n">
        <v>4</v>
      </c>
      <c r="F60" s="94" t="n">
        <v>81</v>
      </c>
    </row>
    <row r="61" customFormat="false" ht="15" hidden="false" customHeight="true" outlineLevel="0" collapsed="false">
      <c r="A61" s="92" t="s">
        <v>233</v>
      </c>
      <c r="B61" s="92" t="s">
        <v>242</v>
      </c>
      <c r="C61" s="92" t="s">
        <v>242</v>
      </c>
      <c r="D61" s="92" t="s">
        <v>243</v>
      </c>
      <c r="E61" s="93" t="n">
        <v>9.6</v>
      </c>
      <c r="F61" s="92" t="n">
        <v>82</v>
      </c>
    </row>
    <row r="62" customFormat="false" ht="15" hidden="false" customHeight="true" outlineLevel="0" collapsed="false">
      <c r="A62" s="94" t="s">
        <v>233</v>
      </c>
      <c r="B62" s="94" t="s">
        <v>244</v>
      </c>
      <c r="C62" s="94" t="s">
        <v>244</v>
      </c>
      <c r="D62" s="94" t="s">
        <v>245</v>
      </c>
      <c r="E62" s="95" t="n">
        <v>3.2</v>
      </c>
      <c r="F62" s="94" t="n">
        <v>83</v>
      </c>
    </row>
    <row r="63" customFormat="false" ht="15" hidden="false" customHeight="true" outlineLevel="0" collapsed="false">
      <c r="A63" s="92" t="s">
        <v>233</v>
      </c>
      <c r="B63" s="92" t="s">
        <v>246</v>
      </c>
      <c r="C63" s="92" t="s">
        <v>246</v>
      </c>
      <c r="D63" s="92" t="s">
        <v>247</v>
      </c>
      <c r="E63" s="93" t="n">
        <v>8.4</v>
      </c>
      <c r="F63" s="92" t="n">
        <v>84</v>
      </c>
    </row>
    <row r="64" customFormat="false" ht="15" hidden="false" customHeight="true" outlineLevel="0" collapsed="false">
      <c r="A64" s="94" t="s">
        <v>233</v>
      </c>
      <c r="B64" s="94" t="s">
        <v>248</v>
      </c>
      <c r="C64" s="94" t="s">
        <v>248</v>
      </c>
      <c r="D64" s="94" t="s">
        <v>249</v>
      </c>
      <c r="E64" s="95" t="n">
        <v>1.6</v>
      </c>
      <c r="F64" s="94" t="n">
        <v>85</v>
      </c>
    </row>
    <row r="65" customFormat="false" ht="15" hidden="false" customHeight="true" outlineLevel="0" collapsed="false">
      <c r="A65" s="92" t="s">
        <v>233</v>
      </c>
      <c r="B65" s="92" t="s">
        <v>250</v>
      </c>
      <c r="C65" s="92" t="s">
        <v>250</v>
      </c>
      <c r="D65" s="92" t="s">
        <v>251</v>
      </c>
      <c r="E65" s="93" t="n">
        <v>2.4</v>
      </c>
      <c r="F65" s="92" t="n">
        <v>86</v>
      </c>
    </row>
    <row r="66" customFormat="false" ht="15" hidden="false" customHeight="true" outlineLevel="0" collapsed="false">
      <c r="A66" s="94" t="s">
        <v>252</v>
      </c>
      <c r="B66" s="94" t="s">
        <v>253</v>
      </c>
      <c r="C66" s="94" t="s">
        <v>253</v>
      </c>
      <c r="D66" s="94" t="s">
        <v>254</v>
      </c>
      <c r="E66" s="95" t="n">
        <v>0.8</v>
      </c>
      <c r="F66" s="94" t="n">
        <v>89</v>
      </c>
    </row>
    <row r="67" customFormat="false" ht="15" hidden="false" customHeight="true" outlineLevel="0" collapsed="false">
      <c r="A67" s="92" t="s">
        <v>252</v>
      </c>
      <c r="B67" s="92" t="s">
        <v>255</v>
      </c>
      <c r="C67" s="92" t="s">
        <v>255</v>
      </c>
      <c r="D67" s="92" t="s">
        <v>256</v>
      </c>
      <c r="E67" s="93" t="n">
        <v>1.6</v>
      </c>
      <c r="F67" s="92" t="n">
        <v>90</v>
      </c>
    </row>
    <row r="68" customFormat="false" ht="15" hidden="false" customHeight="true" outlineLevel="0" collapsed="false">
      <c r="A68" s="94" t="s">
        <v>252</v>
      </c>
      <c r="B68" s="94" t="s">
        <v>257</v>
      </c>
      <c r="C68" s="94" t="s">
        <v>257</v>
      </c>
      <c r="D68" s="94" t="s">
        <v>258</v>
      </c>
      <c r="E68" s="95" t="n">
        <v>2.4</v>
      </c>
      <c r="F68" s="94" t="n">
        <v>91</v>
      </c>
    </row>
    <row r="69" customFormat="false" ht="15" hidden="false" customHeight="true" outlineLevel="0" collapsed="false">
      <c r="A69" s="92" t="s">
        <v>252</v>
      </c>
      <c r="B69" s="92" t="s">
        <v>259</v>
      </c>
      <c r="C69" s="92" t="s">
        <v>259</v>
      </c>
      <c r="D69" s="92" t="s">
        <v>260</v>
      </c>
      <c r="E69" s="93" t="n">
        <v>3.2</v>
      </c>
      <c r="F69" s="92" t="n">
        <v>92</v>
      </c>
    </row>
    <row r="70" customFormat="false" ht="15" hidden="false" customHeight="true" outlineLevel="0" collapsed="false">
      <c r="A70" s="94" t="s">
        <v>252</v>
      </c>
      <c r="B70" s="94" t="s">
        <v>261</v>
      </c>
      <c r="C70" s="94" t="s">
        <v>261</v>
      </c>
      <c r="D70" s="94" t="s">
        <v>262</v>
      </c>
      <c r="E70" s="95" t="n">
        <v>4</v>
      </c>
      <c r="F70" s="94" t="n">
        <v>93</v>
      </c>
    </row>
    <row r="71" customFormat="false" ht="15" hidden="false" customHeight="true" outlineLevel="0" collapsed="false">
      <c r="A71" s="92" t="s">
        <v>252</v>
      </c>
      <c r="B71" s="92" t="s">
        <v>263</v>
      </c>
      <c r="C71" s="92" t="s">
        <v>263</v>
      </c>
      <c r="D71" s="92" t="s">
        <v>264</v>
      </c>
      <c r="E71" s="93" t="n">
        <v>400</v>
      </c>
      <c r="F71" s="92" t="n">
        <v>94</v>
      </c>
    </row>
    <row r="72" customFormat="false" ht="15" hidden="false" customHeight="true" outlineLevel="0" collapsed="false">
      <c r="A72" s="94" t="s">
        <v>252</v>
      </c>
      <c r="B72" s="94" t="s">
        <v>265</v>
      </c>
      <c r="C72" s="94" t="s">
        <v>265</v>
      </c>
      <c r="D72" s="94" t="s">
        <v>266</v>
      </c>
      <c r="E72" s="95" t="n">
        <v>65</v>
      </c>
      <c r="F72" s="94" t="n">
        <v>95</v>
      </c>
    </row>
    <row r="73" customFormat="false" ht="15" hidden="false" customHeight="true" outlineLevel="0" collapsed="false">
      <c r="A73" s="92" t="s">
        <v>252</v>
      </c>
      <c r="B73" s="92" t="s">
        <v>267</v>
      </c>
      <c r="C73" s="92" t="s">
        <v>267</v>
      </c>
      <c r="D73" s="92" t="s">
        <v>268</v>
      </c>
      <c r="E73" s="93" t="n">
        <v>97.5</v>
      </c>
      <c r="F73" s="92" t="n">
        <v>96</v>
      </c>
    </row>
    <row r="74" customFormat="false" ht="15" hidden="false" customHeight="true" outlineLevel="0" collapsed="false">
      <c r="A74" s="94" t="s">
        <v>252</v>
      </c>
      <c r="B74" s="94" t="s">
        <v>69</v>
      </c>
      <c r="C74" s="94" t="s">
        <v>69</v>
      </c>
      <c r="D74" s="94" t="s">
        <v>269</v>
      </c>
      <c r="E74" s="95"/>
      <c r="F74" s="94" t="n">
        <v>97</v>
      </c>
    </row>
    <row r="75" customFormat="false" ht="15" hidden="false" customHeight="true" outlineLevel="0" collapsed="false">
      <c r="A75" s="92" t="s">
        <v>252</v>
      </c>
      <c r="B75" s="92" t="s">
        <v>270</v>
      </c>
      <c r="C75" s="92" t="s">
        <v>270</v>
      </c>
      <c r="D75" s="92" t="s">
        <v>271</v>
      </c>
      <c r="E75" s="93" t="n">
        <v>80</v>
      </c>
      <c r="F75" s="92" t="n">
        <v>98</v>
      </c>
    </row>
    <row r="76" customFormat="false" ht="15" hidden="false" customHeight="true" outlineLevel="0" collapsed="false">
      <c r="A76" s="94" t="s">
        <v>252</v>
      </c>
      <c r="B76" s="94" t="s">
        <v>272</v>
      </c>
      <c r="C76" s="94" t="s">
        <v>270</v>
      </c>
      <c r="D76" s="94" t="s">
        <v>273</v>
      </c>
      <c r="E76" s="95" t="n">
        <v>75</v>
      </c>
      <c r="F76" s="94" t="n">
        <v>99</v>
      </c>
    </row>
    <row r="77" customFormat="false" ht="15" hidden="false" customHeight="true" outlineLevel="0" collapsed="false">
      <c r="A77" s="92" t="s">
        <v>252</v>
      </c>
      <c r="B77" s="92" t="s">
        <v>274</v>
      </c>
      <c r="C77" s="92" t="s">
        <v>270</v>
      </c>
      <c r="D77" s="92" t="s">
        <v>275</v>
      </c>
      <c r="E77" s="93" t="n">
        <v>1.5</v>
      </c>
      <c r="F77" s="92" t="n">
        <v>100</v>
      </c>
    </row>
    <row r="78" customFormat="false" ht="15" hidden="false" customHeight="true" outlineLevel="0" collapsed="false">
      <c r="A78" s="94" t="s">
        <v>252</v>
      </c>
      <c r="B78" s="94" t="s">
        <v>68</v>
      </c>
      <c r="C78" s="94" t="s">
        <v>68</v>
      </c>
      <c r="D78" s="94" t="s">
        <v>276</v>
      </c>
      <c r="E78" s="95" t="n">
        <v>1000</v>
      </c>
      <c r="F78" s="94" t="n">
        <v>101</v>
      </c>
    </row>
    <row r="79" customFormat="false" ht="15" hidden="false" customHeight="true" outlineLevel="0" collapsed="false">
      <c r="A79" s="92" t="s">
        <v>252</v>
      </c>
      <c r="B79" s="92" t="s">
        <v>277</v>
      </c>
      <c r="C79" s="92" t="s">
        <v>277</v>
      </c>
      <c r="D79" s="92" t="s">
        <v>278</v>
      </c>
      <c r="E79" s="93" t="n">
        <v>2800</v>
      </c>
      <c r="F79" s="92" t="n">
        <v>102</v>
      </c>
    </row>
    <row r="80" customFormat="false" ht="15" hidden="false" customHeight="true" outlineLevel="0" collapsed="false">
      <c r="A80" s="94" t="s">
        <v>252</v>
      </c>
      <c r="B80" s="94" t="s">
        <v>279</v>
      </c>
      <c r="C80" s="94" t="s">
        <v>279</v>
      </c>
      <c r="D80" s="94" t="s">
        <v>280</v>
      </c>
      <c r="E80" s="95" t="n">
        <v>3600</v>
      </c>
      <c r="F80" s="94" t="n">
        <v>103</v>
      </c>
    </row>
    <row r="81" customFormat="false" ht="15" hidden="false" customHeight="true" outlineLevel="0" collapsed="false">
      <c r="A81" s="92" t="s">
        <v>252</v>
      </c>
      <c r="B81" s="92" t="s">
        <v>281</v>
      </c>
      <c r="C81" s="92" t="s">
        <v>281</v>
      </c>
      <c r="D81" s="92" t="s">
        <v>282</v>
      </c>
      <c r="E81" s="93" t="n">
        <v>4400</v>
      </c>
      <c r="F81" s="92" t="n">
        <v>104</v>
      </c>
    </row>
    <row r="82" customFormat="false" ht="15" hidden="false" customHeight="true" outlineLevel="0" collapsed="false">
      <c r="A82" s="94" t="s">
        <v>252</v>
      </c>
      <c r="B82" s="94" t="s">
        <v>283</v>
      </c>
      <c r="C82" s="94" t="s">
        <v>283</v>
      </c>
      <c r="D82" s="94" t="s">
        <v>284</v>
      </c>
      <c r="E82" s="95" t="n">
        <v>4800</v>
      </c>
      <c r="F82" s="94" t="n">
        <v>105</v>
      </c>
    </row>
    <row r="83" customFormat="false" ht="15" hidden="false" customHeight="true" outlineLevel="0" collapsed="false">
      <c r="A83" s="92" t="s">
        <v>252</v>
      </c>
      <c r="B83" s="92" t="s">
        <v>285</v>
      </c>
      <c r="C83" s="92" t="s">
        <v>285</v>
      </c>
      <c r="D83" s="92" t="s">
        <v>286</v>
      </c>
      <c r="E83" s="93" t="n">
        <v>5200</v>
      </c>
      <c r="F83" s="92" t="n">
        <v>106</v>
      </c>
    </row>
    <row r="84" customFormat="false" ht="15" hidden="false" customHeight="true" outlineLevel="0" collapsed="false">
      <c r="A84" s="94" t="s">
        <v>252</v>
      </c>
      <c r="B84" s="94" t="s">
        <v>287</v>
      </c>
      <c r="C84" s="94" t="s">
        <v>287</v>
      </c>
      <c r="D84" s="94" t="s">
        <v>288</v>
      </c>
      <c r="E84" s="95" t="n">
        <v>2.4</v>
      </c>
      <c r="F84" s="94" t="n">
        <v>107</v>
      </c>
    </row>
    <row r="85" customFormat="false" ht="15" hidden="false" customHeight="true" outlineLevel="0" collapsed="false">
      <c r="A85" s="92" t="s">
        <v>252</v>
      </c>
      <c r="B85" s="92" t="s">
        <v>289</v>
      </c>
      <c r="C85" s="92" t="s">
        <v>289</v>
      </c>
      <c r="D85" s="92" t="s">
        <v>290</v>
      </c>
      <c r="E85" s="93" t="n">
        <v>0.8</v>
      </c>
      <c r="F85" s="92" t="n">
        <v>108</v>
      </c>
    </row>
    <row r="86" customFormat="false" ht="15" hidden="false" customHeight="true" outlineLevel="0" collapsed="false">
      <c r="A86" s="94" t="s">
        <v>252</v>
      </c>
      <c r="B86" s="94" t="s">
        <v>291</v>
      </c>
      <c r="C86" s="94" t="s">
        <v>291</v>
      </c>
      <c r="D86" s="94" t="s">
        <v>292</v>
      </c>
      <c r="E86" s="95" t="n">
        <v>4</v>
      </c>
      <c r="F86" s="94" t="n">
        <v>109</v>
      </c>
    </row>
    <row r="87" customFormat="false" ht="15" hidden="false" customHeight="true" outlineLevel="0" collapsed="false">
      <c r="A87" s="92" t="s">
        <v>293</v>
      </c>
      <c r="B87" s="92" t="s">
        <v>294</v>
      </c>
      <c r="C87" s="92" t="s">
        <v>294</v>
      </c>
      <c r="D87" s="92" t="s">
        <v>295</v>
      </c>
      <c r="E87" s="93" t="n">
        <v>20</v>
      </c>
      <c r="F87" s="92" t="n">
        <v>112</v>
      </c>
    </row>
    <row r="88" customFormat="false" ht="15" hidden="false" customHeight="true" outlineLevel="0" collapsed="false">
      <c r="A88" s="94" t="s">
        <v>293</v>
      </c>
      <c r="B88" s="94" t="s">
        <v>296</v>
      </c>
      <c r="C88" s="94" t="s">
        <v>296</v>
      </c>
      <c r="D88" s="94" t="s">
        <v>297</v>
      </c>
      <c r="E88" s="95" t="n">
        <v>80</v>
      </c>
      <c r="F88" s="94" t="n">
        <v>113</v>
      </c>
    </row>
    <row r="89" customFormat="false" ht="15" hidden="false" customHeight="true" outlineLevel="0" collapsed="false">
      <c r="A89" s="92" t="s">
        <v>293</v>
      </c>
      <c r="B89" s="92" t="s">
        <v>298</v>
      </c>
      <c r="C89" s="92" t="s">
        <v>298</v>
      </c>
      <c r="D89" s="92" t="s">
        <v>299</v>
      </c>
      <c r="E89" s="93" t="n">
        <v>16.8</v>
      </c>
      <c r="F89" s="92" t="n">
        <v>114</v>
      </c>
    </row>
    <row r="90" customFormat="false" ht="15" hidden="false" customHeight="true" outlineLevel="0" collapsed="false">
      <c r="A90" s="94" t="s">
        <v>293</v>
      </c>
      <c r="B90" s="94" t="s">
        <v>300</v>
      </c>
      <c r="C90" s="94" t="s">
        <v>300</v>
      </c>
      <c r="D90" s="94" t="s">
        <v>301</v>
      </c>
      <c r="E90" s="95" t="n">
        <v>11.6</v>
      </c>
      <c r="F90" s="94" t="n">
        <v>115</v>
      </c>
    </row>
    <row r="91" customFormat="false" ht="15" hidden="false" customHeight="true" outlineLevel="0" collapsed="false">
      <c r="A91" s="92" t="s">
        <v>293</v>
      </c>
      <c r="B91" s="92" t="s">
        <v>302</v>
      </c>
      <c r="C91" s="92" t="s">
        <v>302</v>
      </c>
      <c r="D91" s="92" t="s">
        <v>303</v>
      </c>
      <c r="E91" s="93" t="n">
        <v>6.8</v>
      </c>
      <c r="F91" s="92" t="n">
        <v>116</v>
      </c>
    </row>
    <row r="92" customFormat="false" ht="15" hidden="false" customHeight="true" outlineLevel="0" collapsed="false">
      <c r="A92" s="94" t="s">
        <v>293</v>
      </c>
      <c r="B92" s="94" t="s">
        <v>304</v>
      </c>
      <c r="C92" s="94" t="s">
        <v>304</v>
      </c>
      <c r="D92" s="94" t="s">
        <v>305</v>
      </c>
      <c r="E92" s="95" t="n">
        <v>7.4</v>
      </c>
      <c r="F92" s="94" t="n">
        <v>117</v>
      </c>
    </row>
    <row r="93" customFormat="false" ht="15" hidden="false" customHeight="true" outlineLevel="0" collapsed="false">
      <c r="A93" s="92" t="s">
        <v>293</v>
      </c>
      <c r="B93" s="92" t="s">
        <v>306</v>
      </c>
      <c r="C93" s="92" t="s">
        <v>306</v>
      </c>
      <c r="D93" s="92" t="s">
        <v>307</v>
      </c>
      <c r="E93" s="93" t="n">
        <v>2.8</v>
      </c>
      <c r="F93" s="92" t="n">
        <v>118</v>
      </c>
    </row>
    <row r="94" customFormat="false" ht="15" hidden="false" customHeight="true" outlineLevel="0" collapsed="false">
      <c r="A94" s="94" t="s">
        <v>293</v>
      </c>
      <c r="B94" s="94" t="s">
        <v>308</v>
      </c>
      <c r="C94" s="94" t="s">
        <v>308</v>
      </c>
      <c r="D94" s="94" t="s">
        <v>309</v>
      </c>
      <c r="E94" s="95" t="n">
        <v>1.4</v>
      </c>
      <c r="F94" s="94" t="n">
        <v>119</v>
      </c>
    </row>
    <row r="95" customFormat="false" ht="15" hidden="false" customHeight="true" outlineLevel="0" collapsed="false">
      <c r="A95" s="92" t="s">
        <v>293</v>
      </c>
      <c r="B95" s="92" t="s">
        <v>310</v>
      </c>
      <c r="C95" s="92" t="s">
        <v>310</v>
      </c>
      <c r="D95" s="92" t="s">
        <v>311</v>
      </c>
      <c r="E95" s="93" t="n">
        <v>20</v>
      </c>
      <c r="F95" s="92" t="n">
        <v>120</v>
      </c>
    </row>
    <row r="96" customFormat="false" ht="15" hidden="false" customHeight="true" outlineLevel="0" collapsed="false">
      <c r="A96" s="94" t="s">
        <v>293</v>
      </c>
      <c r="B96" s="94" t="s">
        <v>312</v>
      </c>
      <c r="C96" s="94" t="s">
        <v>312</v>
      </c>
      <c r="D96" s="94" t="s">
        <v>313</v>
      </c>
      <c r="E96" s="95" t="n">
        <v>35.2</v>
      </c>
      <c r="F96" s="94" t="n">
        <v>121</v>
      </c>
    </row>
    <row r="97" customFormat="false" ht="15" hidden="false" customHeight="true" outlineLevel="0" collapsed="false">
      <c r="A97" s="92" t="s">
        <v>293</v>
      </c>
      <c r="B97" s="92" t="s">
        <v>314</v>
      </c>
      <c r="C97" s="92" t="s">
        <v>314</v>
      </c>
      <c r="D97" s="92" t="s">
        <v>315</v>
      </c>
      <c r="E97" s="93" t="n">
        <v>28.8</v>
      </c>
      <c r="F97" s="92" t="n">
        <v>122</v>
      </c>
    </row>
    <row r="98" customFormat="false" ht="15" hidden="false" customHeight="true" outlineLevel="0" collapsed="false">
      <c r="A98" s="94" t="s">
        <v>293</v>
      </c>
      <c r="B98" s="94" t="s">
        <v>316</v>
      </c>
      <c r="C98" s="94" t="s">
        <v>316</v>
      </c>
      <c r="D98" s="94" t="s">
        <v>317</v>
      </c>
      <c r="E98" s="95" t="n">
        <v>73.6</v>
      </c>
      <c r="F98" s="94" t="n">
        <v>123</v>
      </c>
    </row>
    <row r="99" customFormat="false" ht="15" hidden="false" customHeight="true" outlineLevel="0" collapsed="false">
      <c r="A99" s="92" t="s">
        <v>293</v>
      </c>
      <c r="B99" s="92" t="s">
        <v>318</v>
      </c>
      <c r="C99" s="92" t="s">
        <v>318</v>
      </c>
      <c r="D99" s="92" t="s">
        <v>319</v>
      </c>
      <c r="E99" s="93" t="n">
        <v>48</v>
      </c>
      <c r="F99" s="92" t="n">
        <v>124</v>
      </c>
    </row>
    <row r="100" customFormat="false" ht="15" hidden="false" customHeight="true" outlineLevel="0" collapsed="false">
      <c r="A100" s="94" t="s">
        <v>293</v>
      </c>
      <c r="B100" s="94" t="s">
        <v>320</v>
      </c>
      <c r="C100" s="94" t="s">
        <v>320</v>
      </c>
      <c r="D100" s="94" t="s">
        <v>321</v>
      </c>
      <c r="E100" s="95" t="n">
        <v>229.6</v>
      </c>
      <c r="F100" s="94" t="n">
        <v>125</v>
      </c>
    </row>
    <row r="101" customFormat="false" ht="15" hidden="false" customHeight="true" outlineLevel="0" collapsed="false">
      <c r="A101" s="92" t="s">
        <v>293</v>
      </c>
      <c r="B101" s="92" t="s">
        <v>322</v>
      </c>
      <c r="C101" s="92" t="s">
        <v>322</v>
      </c>
      <c r="D101" s="92" t="s">
        <v>323</v>
      </c>
      <c r="E101" s="93" t="n">
        <v>56.8</v>
      </c>
      <c r="F101" s="92" t="n">
        <v>126</v>
      </c>
    </row>
    <row r="102" customFormat="false" ht="15" hidden="false" customHeight="true" outlineLevel="0" collapsed="false">
      <c r="A102" s="94" t="s">
        <v>293</v>
      </c>
      <c r="B102" s="94" t="s">
        <v>324</v>
      </c>
      <c r="C102" s="94" t="s">
        <v>324</v>
      </c>
      <c r="D102" s="94" t="s">
        <v>325</v>
      </c>
      <c r="E102" s="95" t="n">
        <v>16</v>
      </c>
      <c r="F102" s="94" t="n">
        <v>127</v>
      </c>
    </row>
    <row r="103" customFormat="false" ht="15" hidden="false" customHeight="true" outlineLevel="0" collapsed="false">
      <c r="A103" s="92" t="s">
        <v>293</v>
      </c>
      <c r="B103" s="92" t="s">
        <v>326</v>
      </c>
      <c r="C103" s="92" t="s">
        <v>326</v>
      </c>
      <c r="D103" s="92" t="s">
        <v>327</v>
      </c>
      <c r="E103" s="93" t="n">
        <v>15.2</v>
      </c>
      <c r="F103" s="92" t="n">
        <v>128</v>
      </c>
    </row>
    <row r="104" customFormat="false" ht="15" hidden="false" customHeight="true" outlineLevel="0" collapsed="false">
      <c r="A104" s="94" t="s">
        <v>293</v>
      </c>
      <c r="B104" s="94" t="s">
        <v>328</v>
      </c>
      <c r="C104" s="94" t="s">
        <v>328</v>
      </c>
      <c r="D104" s="94" t="s">
        <v>329</v>
      </c>
      <c r="E104" s="95" t="n">
        <v>20</v>
      </c>
      <c r="F104" s="94" t="n">
        <v>129</v>
      </c>
    </row>
    <row r="105" customFormat="false" ht="15" hidden="false" customHeight="true" outlineLevel="0" collapsed="false">
      <c r="A105" s="92" t="s">
        <v>293</v>
      </c>
      <c r="B105" s="92" t="s">
        <v>330</v>
      </c>
      <c r="C105" s="92" t="s">
        <v>330</v>
      </c>
      <c r="D105" s="92" t="s">
        <v>331</v>
      </c>
      <c r="E105" s="93" t="n">
        <v>13.6</v>
      </c>
      <c r="F105" s="92" t="n">
        <v>130</v>
      </c>
    </row>
    <row r="106" customFormat="false" ht="15" hidden="false" customHeight="true" outlineLevel="0" collapsed="false">
      <c r="A106" s="94" t="s">
        <v>293</v>
      </c>
      <c r="B106" s="94" t="s">
        <v>332</v>
      </c>
      <c r="C106" s="94" t="s">
        <v>332</v>
      </c>
      <c r="D106" s="94" t="s">
        <v>333</v>
      </c>
      <c r="E106" s="95" t="n">
        <v>165.6</v>
      </c>
      <c r="F106" s="94" t="n">
        <v>131</v>
      </c>
    </row>
    <row r="107" customFormat="false" ht="15" hidden="false" customHeight="true" outlineLevel="0" collapsed="false">
      <c r="A107" s="92" t="s">
        <v>293</v>
      </c>
      <c r="B107" s="92" t="s">
        <v>334</v>
      </c>
      <c r="C107" s="92" t="s">
        <v>334</v>
      </c>
      <c r="D107" s="92" t="s">
        <v>335</v>
      </c>
      <c r="E107" s="93" t="n">
        <v>233.6</v>
      </c>
      <c r="F107" s="92" t="n">
        <v>132</v>
      </c>
    </row>
    <row r="108" customFormat="false" ht="15" hidden="false" customHeight="true" outlineLevel="0" collapsed="false">
      <c r="A108" s="94" t="s">
        <v>293</v>
      </c>
      <c r="B108" s="94" t="s">
        <v>336</v>
      </c>
      <c r="C108" s="94" t="s">
        <v>336</v>
      </c>
      <c r="D108" s="94" t="s">
        <v>337</v>
      </c>
      <c r="E108" s="95" t="n">
        <v>233.6</v>
      </c>
      <c r="F108" s="94" t="n">
        <v>133</v>
      </c>
    </row>
    <row r="109" customFormat="false" ht="15" hidden="false" customHeight="true" outlineLevel="0" collapsed="false">
      <c r="A109" s="92" t="s">
        <v>293</v>
      </c>
      <c r="B109" s="92" t="s">
        <v>338</v>
      </c>
      <c r="C109" s="92" t="s">
        <v>338</v>
      </c>
      <c r="D109" s="92" t="s">
        <v>339</v>
      </c>
      <c r="E109" s="93" t="n">
        <v>233.6</v>
      </c>
      <c r="F109" s="92" t="n">
        <v>134</v>
      </c>
    </row>
    <row r="110" customFormat="false" ht="15" hidden="false" customHeight="true" outlineLevel="0" collapsed="false">
      <c r="A110" s="94" t="s">
        <v>293</v>
      </c>
      <c r="B110" s="94" t="s">
        <v>340</v>
      </c>
      <c r="C110" s="94" t="s">
        <v>340</v>
      </c>
      <c r="D110" s="94" t="s">
        <v>341</v>
      </c>
      <c r="E110" s="95" t="n">
        <v>341.6</v>
      </c>
      <c r="F110" s="94" t="n">
        <v>135</v>
      </c>
    </row>
    <row r="111" customFormat="false" ht="15" hidden="false" customHeight="true" outlineLevel="0" collapsed="false">
      <c r="A111" s="92" t="s">
        <v>293</v>
      </c>
      <c r="B111" s="92" t="s">
        <v>342</v>
      </c>
      <c r="C111" s="92" t="s">
        <v>342</v>
      </c>
      <c r="D111" s="92" t="s">
        <v>343</v>
      </c>
      <c r="E111" s="93" t="n">
        <v>194.4</v>
      </c>
      <c r="F111" s="92" t="n">
        <v>136</v>
      </c>
    </row>
    <row r="112" customFormat="false" ht="15" hidden="false" customHeight="true" outlineLevel="0" collapsed="false">
      <c r="A112" s="94" t="s">
        <v>293</v>
      </c>
      <c r="B112" s="94" t="s">
        <v>344</v>
      </c>
      <c r="C112" s="94" t="s">
        <v>344</v>
      </c>
      <c r="D112" s="94" t="s">
        <v>345</v>
      </c>
      <c r="E112" s="95" t="n">
        <v>233.6</v>
      </c>
      <c r="F112" s="94" t="n">
        <v>137</v>
      </c>
    </row>
    <row r="113" customFormat="false" ht="15" hidden="false" customHeight="true" outlineLevel="0" collapsed="false">
      <c r="A113" s="92" t="s">
        <v>293</v>
      </c>
      <c r="B113" s="92" t="s">
        <v>346</v>
      </c>
      <c r="C113" s="92" t="s">
        <v>346</v>
      </c>
      <c r="D113" s="92" t="s">
        <v>347</v>
      </c>
      <c r="E113" s="93" t="n">
        <v>341.6</v>
      </c>
      <c r="F113" s="92" t="n">
        <v>138</v>
      </c>
    </row>
    <row r="114" customFormat="false" ht="15" hidden="false" customHeight="true" outlineLevel="0" collapsed="false">
      <c r="A114" s="94" t="s">
        <v>293</v>
      </c>
      <c r="B114" s="94" t="s">
        <v>348</v>
      </c>
      <c r="C114" s="94" t="s">
        <v>348</v>
      </c>
      <c r="D114" s="94" t="s">
        <v>349</v>
      </c>
      <c r="E114" s="95" t="n">
        <v>341.6</v>
      </c>
      <c r="F114" s="94" t="n">
        <v>139</v>
      </c>
    </row>
    <row r="115" customFormat="false" ht="15" hidden="false" customHeight="true" outlineLevel="0" collapsed="false">
      <c r="A115" s="92" t="s">
        <v>293</v>
      </c>
      <c r="B115" s="92" t="s">
        <v>350</v>
      </c>
      <c r="C115" s="92" t="s">
        <v>350</v>
      </c>
      <c r="D115" s="92" t="s">
        <v>351</v>
      </c>
      <c r="E115" s="93" t="n">
        <v>194.4</v>
      </c>
      <c r="F115" s="92" t="n">
        <v>140</v>
      </c>
    </row>
    <row r="116" customFormat="false" ht="15" hidden="false" customHeight="true" outlineLevel="0" collapsed="false">
      <c r="A116" s="94" t="s">
        <v>293</v>
      </c>
      <c r="B116" s="94" t="s">
        <v>352</v>
      </c>
      <c r="C116" s="94" t="s">
        <v>352</v>
      </c>
      <c r="D116" s="94" t="s">
        <v>353</v>
      </c>
      <c r="E116" s="95" t="n">
        <v>194.4</v>
      </c>
      <c r="F116" s="94" t="n">
        <v>141</v>
      </c>
    </row>
    <row r="117" customFormat="false" ht="15" hidden="false" customHeight="true" outlineLevel="0" collapsed="false">
      <c r="A117" s="92" t="s">
        <v>293</v>
      </c>
      <c r="B117" s="92" t="s">
        <v>354</v>
      </c>
      <c r="C117" s="92" t="s">
        <v>354</v>
      </c>
      <c r="D117" s="92" t="s">
        <v>355</v>
      </c>
      <c r="E117" s="93" t="n">
        <v>341.6</v>
      </c>
      <c r="F117" s="92" t="n">
        <v>142</v>
      </c>
    </row>
    <row r="118" customFormat="false" ht="15" hidden="false" customHeight="true" outlineLevel="0" collapsed="false">
      <c r="A118" s="94" t="s">
        <v>293</v>
      </c>
      <c r="B118" s="94" t="s">
        <v>356</v>
      </c>
      <c r="C118" s="94" t="s">
        <v>356</v>
      </c>
      <c r="D118" s="94" t="s">
        <v>357</v>
      </c>
      <c r="E118" s="95" t="n">
        <v>233.6</v>
      </c>
      <c r="F118" s="94" t="n">
        <v>143</v>
      </c>
    </row>
    <row r="119" customFormat="false" ht="15" hidden="false" customHeight="true" outlineLevel="0" collapsed="false">
      <c r="A119" s="94" t="inlineStr">
        <is>
          <t xml:space="preserve">EXO Area Monitor</t>
        </is>
      </c>
      <c r="B119" s="94" t="inlineStr">
        <is>
          <t xml:space="preserve">RENT-G7EXO-PUMPED</t>
        </is>
      </c>
      <c r="C119" s="94" t="inlineStr">
        <is>
          <t xml:space="preserve">RENT-G7EXO + RENT-G7EXO-PUMP</t>
        </is>
      </c>
      <c r="D119" s="94" t="inlineStr">
        <is>
          <t xml:space="preserve">Rental service, EXO with pump module, daily rate (base + pump)</t>
        </is>
      </c>
      <c r="E119" s="95">
        <f aca="false">E14+E15</f>
      </c>
      <c r="F119" s="94" t="inlineStr">
        <is>
          <t xml:space="preserve">25+26</t>
        </is>
      </c>
    </row>
  </sheetData>
  <autoFilter ref="A4:F118"/>
  <mergeCells count="1">
    <mergeCell ref="A2:F2"/>
  </mergeCells>
  <conditionalFormatting sqref="E5:E118">
    <cfRule type="expression" priority="2" aboveAverage="0" equalAverage="0" bottom="0" percent="0" rank="0" text="" dxfId="0">
      <formula>ISBLANK(E5)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1" width="16"/>
    <col collapsed="false" customWidth="true" hidden="false" outlineLevel="0" max="4" min="4" style="1" width="18"/>
    <col collapsed="false" customWidth="true" hidden="false" outlineLevel="0" max="11" min="5" style="1" width="16"/>
  </cols>
  <sheetData>
    <row r="1" customFormat="false" ht="15.75" hidden="false" customHeight="true" outlineLevel="0" collapsed="false">
      <c r="A1" s="89" t="s">
        <v>358</v>
      </c>
    </row>
    <row r="2" customFormat="false" ht="15" hidden="false" customHeight="true" outlineLevel="0" collapsed="false">
      <c r="A2" s="90" t="s">
        <v>359</v>
      </c>
      <c r="B2" s="90"/>
      <c r="C2" s="90"/>
      <c r="D2" s="90"/>
      <c r="E2" s="90"/>
      <c r="F2" s="90"/>
      <c r="G2" s="90"/>
      <c r="H2" s="90"/>
    </row>
    <row r="4" customFormat="false" ht="15" hidden="false" customHeight="true" outlineLevel="0" collapsed="false">
      <c r="A4" s="96" t="s">
        <v>360</v>
      </c>
      <c r="B4" s="96" t="s">
        <v>361</v>
      </c>
      <c r="D4" s="96" t="s">
        <v>362</v>
      </c>
      <c r="E4" s="96" t="s">
        <v>74</v>
      </c>
      <c r="F4" s="96" t="s">
        <v>363</v>
      </c>
      <c r="H4" s="96" t="s">
        <v>364</v>
      </c>
      <c r="I4" s="96" t="s">
        <v>365</v>
      </c>
      <c r="J4" s="96" t="s">
        <v>366</v>
      </c>
      <c r="K4" s="96" t="s">
        <v>367</v>
      </c>
    </row>
    <row r="5" customFormat="false" ht="15" hidden="false" customHeight="true" outlineLevel="0" collapsed="false">
      <c r="A5" s="92" t="s">
        <v>368</v>
      </c>
      <c r="B5" s="92"/>
      <c r="D5" s="92" t="s">
        <v>50</v>
      </c>
      <c r="E5" s="92" t="s">
        <v>369</v>
      </c>
      <c r="F5" s="92" t="s">
        <v>368</v>
      </c>
      <c r="H5" s="40" t="s">
        <v>50</v>
      </c>
      <c r="I5" s="40" t="s">
        <v>37</v>
      </c>
      <c r="J5" s="40" t="s">
        <v>370</v>
      </c>
      <c r="K5" s="40" t="s">
        <v>370</v>
      </c>
    </row>
    <row r="6" customFormat="false" ht="15" hidden="false" customHeight="true" outlineLevel="0" collapsed="false">
      <c r="A6" s="92" t="s">
        <v>371</v>
      </c>
      <c r="B6" s="92" t="s">
        <v>176</v>
      </c>
      <c r="D6" s="92" t="s">
        <v>372</v>
      </c>
      <c r="E6" s="92" t="s">
        <v>373</v>
      </c>
      <c r="F6" s="92" t="s">
        <v>368</v>
      </c>
      <c r="H6" s="40" t="s">
        <v>372</v>
      </c>
      <c r="I6" s="40" t="s">
        <v>51</v>
      </c>
      <c r="J6" s="40" t="s">
        <v>374</v>
      </c>
      <c r="K6" s="40" t="s">
        <v>374</v>
      </c>
    </row>
    <row r="7" customFormat="false" ht="15" hidden="false" customHeight="true" outlineLevel="0" collapsed="false">
      <c r="A7" s="92" t="s">
        <v>375</v>
      </c>
      <c r="B7" s="92" t="s">
        <v>178</v>
      </c>
      <c r="D7" s="92" t="s">
        <v>51</v>
      </c>
      <c r="E7" s="92" t="s">
        <v>376</v>
      </c>
      <c r="F7" s="92" t="s">
        <v>368</v>
      </c>
      <c r="H7" s="40" t="s">
        <v>51</v>
      </c>
      <c r="J7" s="40" t="s">
        <v>377</v>
      </c>
      <c r="K7" s="40" t="s">
        <v>377</v>
      </c>
    </row>
    <row r="8" customFormat="false" ht="15" hidden="false" customHeight="true" outlineLevel="0" collapsed="false">
      <c r="A8" s="92" t="s">
        <v>378</v>
      </c>
      <c r="B8" s="92" t="s">
        <v>180</v>
      </c>
      <c r="D8" s="92" t="s">
        <v>37</v>
      </c>
      <c r="E8" s="92" t="s">
        <v>379</v>
      </c>
      <c r="F8" s="92" t="s">
        <v>368</v>
      </c>
      <c r="J8" s="40" t="s">
        <v>179</v>
      </c>
      <c r="K8" s="40" t="s">
        <v>380</v>
      </c>
    </row>
    <row r="9" customFormat="false" ht="15" hidden="false" customHeight="true" outlineLevel="0" collapsed="false">
      <c r="D9" s="92" t="s">
        <v>370</v>
      </c>
      <c r="E9" s="92" t="s">
        <v>91</v>
      </c>
      <c r="F9" s="92" t="s">
        <v>378</v>
      </c>
      <c r="J9" s="40" t="s">
        <v>381</v>
      </c>
      <c r="K9" s="40" t="s">
        <v>381</v>
      </c>
    </row>
    <row r="10" customFormat="false" ht="15" hidden="false" customHeight="true" outlineLevel="0" collapsed="false">
      <c r="D10" s="92" t="s">
        <v>374</v>
      </c>
      <c r="E10" s="92" t="s">
        <v>382</v>
      </c>
      <c r="F10" s="92" t="s">
        <v>371</v>
      </c>
      <c r="J10" s="40" t="s">
        <v>383</v>
      </c>
      <c r="K10" s="40" t="s">
        <v>383</v>
      </c>
    </row>
    <row r="11" customFormat="false" ht="15" hidden="false" customHeight="true" outlineLevel="0" collapsed="false">
      <c r="D11" s="92" t="s">
        <v>377</v>
      </c>
      <c r="E11" s="92" t="s">
        <v>384</v>
      </c>
      <c r="F11" s="92" t="s">
        <v>371</v>
      </c>
      <c r="J11" s="40" t="s">
        <v>385</v>
      </c>
      <c r="K11" s="40" t="s">
        <v>385</v>
      </c>
    </row>
    <row r="12" customFormat="false" ht="15" hidden="false" customHeight="true" outlineLevel="0" collapsed="false">
      <c r="D12" s="92" t="s">
        <v>179</v>
      </c>
      <c r="E12" s="92" t="s">
        <v>386</v>
      </c>
      <c r="F12" s="92" t="s">
        <v>375</v>
      </c>
      <c r="J12" s="40" t="s">
        <v>387</v>
      </c>
      <c r="K12" s="40" t="s">
        <v>387</v>
      </c>
    </row>
    <row r="13" customFormat="false" ht="15" hidden="false" customHeight="true" outlineLevel="0" collapsed="false">
      <c r="D13" s="92" t="s">
        <v>381</v>
      </c>
      <c r="E13" s="92" t="s">
        <v>388</v>
      </c>
      <c r="F13" s="92" t="s">
        <v>371</v>
      </c>
      <c r="J13" s="40" t="s">
        <v>389</v>
      </c>
      <c r="K13" s="40" t="s">
        <v>389</v>
      </c>
    </row>
    <row r="14" customFormat="false" ht="15" hidden="false" customHeight="true" outlineLevel="0" collapsed="false">
      <c r="D14" s="92" t="s">
        <v>383</v>
      </c>
      <c r="E14" s="92" t="s">
        <v>390</v>
      </c>
      <c r="F14" s="92" t="s">
        <v>368</v>
      </c>
      <c r="J14" s="40" t="s">
        <v>391</v>
      </c>
      <c r="K14" s="40" t="s">
        <v>391</v>
      </c>
    </row>
    <row r="15" customFormat="false" ht="15" hidden="false" customHeight="true" outlineLevel="0" collapsed="false">
      <c r="D15" s="92" t="s">
        <v>385</v>
      </c>
      <c r="E15" s="92" t="s">
        <v>392</v>
      </c>
      <c r="F15" s="92" t="s">
        <v>371</v>
      </c>
      <c r="J15" s="40" t="s">
        <v>393</v>
      </c>
      <c r="K15" s="40" t="s">
        <v>393</v>
      </c>
    </row>
    <row r="16" customFormat="false" ht="15" hidden="false" customHeight="true" outlineLevel="0" collapsed="false">
      <c r="D16" s="92" t="s">
        <v>387</v>
      </c>
      <c r="E16" s="92" t="s">
        <v>394</v>
      </c>
      <c r="F16" s="92" t="s">
        <v>371</v>
      </c>
      <c r="J16" s="40" t="s">
        <v>395</v>
      </c>
      <c r="K16" s="40" t="s">
        <v>395</v>
      </c>
    </row>
    <row r="17" customFormat="false" ht="15" hidden="false" customHeight="true" outlineLevel="0" collapsed="false">
      <c r="D17" s="92" t="s">
        <v>389</v>
      </c>
      <c r="E17" s="92" t="s">
        <v>396</v>
      </c>
      <c r="F17" s="92" t="s">
        <v>371</v>
      </c>
      <c r="J17" s="40" t="s">
        <v>397</v>
      </c>
      <c r="K17" s="40" t="s">
        <v>397</v>
      </c>
    </row>
    <row r="18" customFormat="false" ht="15" hidden="false" customHeight="true" outlineLevel="0" collapsed="false">
      <c r="D18" s="92" t="s">
        <v>391</v>
      </c>
      <c r="E18" s="92" t="s">
        <v>398</v>
      </c>
      <c r="F18" s="92" t="s">
        <v>368</v>
      </c>
      <c r="J18" s="40" t="s">
        <v>399</v>
      </c>
      <c r="K18" s="40" t="s">
        <v>399</v>
      </c>
    </row>
    <row r="19" customFormat="false" ht="15" hidden="false" customHeight="true" outlineLevel="0" collapsed="false">
      <c r="D19" s="92" t="s">
        <v>393</v>
      </c>
      <c r="E19" s="92" t="s">
        <v>400</v>
      </c>
      <c r="F19" s="92" t="s">
        <v>371</v>
      </c>
      <c r="J19" s="40" t="s">
        <v>401</v>
      </c>
      <c r="K19" s="40" t="s">
        <v>402</v>
      </c>
    </row>
    <row r="20" customFormat="false" ht="15" hidden="false" customHeight="true" outlineLevel="0" collapsed="false">
      <c r="D20" s="92" t="s">
        <v>395</v>
      </c>
      <c r="E20" s="92" t="s">
        <v>403</v>
      </c>
      <c r="F20" s="92" t="s">
        <v>371</v>
      </c>
      <c r="J20" s="40" t="s">
        <v>402</v>
      </c>
      <c r="K20" s="40" t="s">
        <v>51</v>
      </c>
    </row>
    <row r="21" customFormat="false" ht="15" hidden="false" customHeight="true" outlineLevel="0" collapsed="false">
      <c r="D21" s="92" t="s">
        <v>397</v>
      </c>
      <c r="E21" s="92" t="s">
        <v>404</v>
      </c>
      <c r="F21" s="92" t="s">
        <v>368</v>
      </c>
      <c r="J21" s="40" t="s">
        <v>51</v>
      </c>
    </row>
    <row r="22" customFormat="false" ht="15" hidden="false" customHeight="true" outlineLevel="0" collapsed="false">
      <c r="D22" s="92" t="s">
        <v>399</v>
      </c>
      <c r="E22" s="92" t="s">
        <v>405</v>
      </c>
      <c r="F22" s="92" t="s">
        <v>371</v>
      </c>
    </row>
    <row r="23" customFormat="false" ht="15" hidden="false" customHeight="true" outlineLevel="0" collapsed="false">
      <c r="D23" s="92" t="s">
        <v>401</v>
      </c>
      <c r="E23" s="92" t="s">
        <v>406</v>
      </c>
      <c r="F23" s="92" t="s">
        <v>378</v>
      </c>
    </row>
    <row r="24" customFormat="false" ht="15" hidden="false" customHeight="true" outlineLevel="0" collapsed="false">
      <c r="D24" s="92" t="s">
        <v>402</v>
      </c>
      <c r="E24" s="92" t="s">
        <v>407</v>
      </c>
      <c r="F24" s="92" t="s">
        <v>371</v>
      </c>
    </row>
    <row r="25" customFormat="false" ht="15" hidden="false" customHeight="true" outlineLevel="0" collapsed="false">
      <c r="D25" s="92" t="s">
        <v>380</v>
      </c>
      <c r="E25" s="92" t="s">
        <v>408</v>
      </c>
      <c r="F25" s="92" t="s">
        <v>371</v>
      </c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1" width="16"/>
  </cols>
  <sheetData>
    <row r="1" customFormat="false" ht="15" hidden="false" customHeight="true" outlineLevel="0" collapsed="false">
      <c r="A1" s="97" t="s">
        <v>35</v>
      </c>
      <c r="B1" s="97" t="s">
        <v>409</v>
      </c>
      <c r="C1" s="97" t="inlineStr">
        <is>
          <t xml:space="preserve">SKU Prefix</t>
        </is>
      </c>
      <c r="D1" s="1" t="s">
        <v>410</v>
      </c>
      <c r="F1" s="1" t="s">
        <v>59</v>
      </c>
      <c r="H1" s="1" t="s">
        <v>411</v>
      </c>
      <c r="I1" s="1" t="s">
        <v>412</v>
      </c>
      <c r="J1" s="1" t="s">
        <v>413</v>
      </c>
      <c r="L1" s="1" t="s">
        <v>414</v>
      </c>
      <c r="M1" s="1" t="s">
        <v>412</v>
      </c>
      <c r="N1" s="1" t="s">
        <v>413</v>
      </c>
      <c r="P1" s="1" t="inlineStr">
        <is>
          <t xml:space="preserve">EXO 8-Gas Module</t>
        </is>
      </c>
      <c r="Q1" s="1" t="inlineStr">
        <is>
          <t xml:space="preserve">Code</t>
        </is>
      </c>
      <c r="R1" s="1" t="inlineStr">
        <is>
          <t xml:space="preserve">DB Key</t>
        </is>
      </c>
    </row>
    <row r="2" customFormat="false" ht="15" hidden="false" customHeight="true" outlineLevel="0" collapsed="false">
      <c r="A2" s="1" t="inlineStr">
        <is>
          <t xml:space="preserve">G7/G8c Diffusion</t>
        </is>
      </c>
      <c r="B2" s="1" t="inlineStr">
        <is>
          <t xml:space="preserve">RENT-G7C</t>
        </is>
      </c>
      <c r="C2" s="1" t="inlineStr">
        <is>
          <t xml:space="preserve">RENT-G7C-Q</t>
        </is>
      </c>
      <c r="D2" s="1" t="s">
        <v>416</v>
      </c>
      <c r="F2" s="1" t="s">
        <v>67</v>
      </c>
      <c r="H2" s="1" t="n">
        <v>8</v>
      </c>
      <c r="I2" s="1" t="n">
        <f aca="false">IF(AND('Guided Configurator'!$C8&lt;&gt;"",'Guided Configurator'!$N8&gt;0),1,0)</f>
        <v>0</v>
      </c>
      <c r="J2" s="1" t="str">
        <f aca="false">IF(I2=1,SUM($I$2:I2),"")</f>
        <v/>
      </c>
      <c r="L2" s="1" t="n">
        <v>6</v>
      </c>
      <c r="M2" s="1" t="n">
        <f aca="false">IF(AND('Accessories &amp; Services'!$B6="Yes",'Accessories &amp; Services'!$C6&lt;&gt;""),1,0)</f>
        <v>0</v>
      </c>
      <c r="N2" s="1" t="str">
        <f aca="false">IF(M2=1,SUM($M$2:M2),"")</f>
        <v/>
      </c>
      <c r="P2" s="1" t="inlineStr">
        <is>
          <t xml:space="preserve">No Module</t>
        </is>
      </c>
      <c r="Q2" s="1" t="inlineStr">
        <is>
          <t xml:space="preserve">X</t>
        </is>
      </c>
    </row>
    <row r="3" customFormat="false" ht="15" hidden="false" customHeight="true" outlineLevel="0" collapsed="false">
      <c r="A3" s="1" t="inlineStr">
        <is>
          <t xml:space="preserve">G7/G8c Pumped</t>
        </is>
      </c>
      <c r="B3" s="1" t="inlineStr">
        <is>
          <t xml:space="preserve">RENT-G7C-P</t>
        </is>
      </c>
      <c r="C3" s="1" t="inlineStr">
        <is>
          <t xml:space="preserve">RENT-G7C-P</t>
        </is>
      </c>
      <c r="D3" s="1" t="s">
        <v>65</v>
      </c>
      <c r="F3" s="1" t="s">
        <v>418</v>
      </c>
      <c r="H3" s="1" t="n">
        <v>9</v>
      </c>
      <c r="I3" s="1" t="n">
        <f aca="false">IF(AND('Guided Configurator'!$C9&lt;&gt;"",'Guided Configurator'!$N9&gt;0),1,0)</f>
        <v>0</v>
      </c>
      <c r="J3" s="1" t="str">
        <f aca="false">IF(I3=1,SUM($I$2:I3),"")</f>
        <v/>
      </c>
      <c r="L3" s="1" t="n">
        <v>7</v>
      </c>
      <c r="M3" s="1" t="n">
        <f aca="false">IF(AND('Accessories &amp; Services'!$B7="Yes",'Accessories &amp; Services'!$C7&lt;&gt;""),1,0)</f>
        <v>0</v>
      </c>
      <c r="N3" s="1" t="str">
        <f aca="false">IF(M3=1,SUM($M$2:M3),"")</f>
        <v/>
      </c>
      <c r="P3" s="1" t="inlineStr">
        <is>
          <t xml:space="preserve">SO2, PID (SVXX)</t>
        </is>
      </c>
      <c r="Q3" s="1" t="inlineStr">
        <is>
          <t xml:space="preserve">SVXX</t>
        </is>
      </c>
      <c r="R3" s="1" t="inlineStr">
        <is>
          <t xml:space="preserve">RENT-EX8-GEM-01</t>
        </is>
      </c>
    </row>
    <row r="4" customFormat="false" ht="15" hidden="false" customHeight="true" outlineLevel="0" collapsed="false">
      <c r="A4" s="1" t="inlineStr">
        <is>
          <t xml:space="preserve">G7X Diffusion</t>
        </is>
      </c>
      <c r="B4" s="1" t="inlineStr">
        <is>
          <t xml:space="preserve">RENT-G7X</t>
        </is>
      </c>
      <c r="C4" s="1" t="inlineStr">
        <is>
          <t xml:space="preserve">RENT-G7X-Q</t>
        </is>
      </c>
      <c r="H4" s="1" t="n">
        <v>10</v>
      </c>
      <c r="I4" s="1" t="n">
        <f aca="false">IF(AND('Guided Configurator'!$C10&lt;&gt;"",'Guided Configurator'!$N10&gt;0),1,0)</f>
        <v>0</v>
      </c>
      <c r="J4" s="1" t="str">
        <f aca="false">IF(I4=1,SUM($I$2:I4),"")</f>
        <v/>
      </c>
      <c r="L4" s="1" t="n">
        <v>8</v>
      </c>
      <c r="M4" s="1" t="n">
        <f aca="false">IF(AND('Accessories &amp; Services'!$B8="Yes",'Accessories &amp; Services'!$C8&lt;&gt;""),1,0)</f>
        <v>0</v>
      </c>
      <c r="N4" s="1" t="str">
        <f aca="false">IF(M4=1,SUM($M$2:M4),"")</f>
        <v/>
      </c>
      <c r="P4" s="1" t="inlineStr">
        <is>
          <t xml:space="preserve">HF, NH3, SO2, PID (2ASV)</t>
        </is>
      </c>
      <c r="Q4" s="1" t="inlineStr">
        <is>
          <t xml:space="preserve">2ASV</t>
        </is>
      </c>
      <c r="R4" s="1" t="inlineStr">
        <is>
          <t xml:space="preserve">RENT-EX8-GEM-02</t>
        </is>
      </c>
    </row>
    <row r="5" customFormat="false" ht="15" hidden="false" customHeight="true" outlineLevel="0" collapsed="false">
      <c r="A5" s="1" t="inlineStr">
        <is>
          <t xml:space="preserve">G7X Pump</t>
        </is>
      </c>
      <c r="B5" s="1" t="inlineStr">
        <is>
          <t xml:space="preserve">RENT-G7X-P</t>
        </is>
      </c>
      <c r="C5" s="1" t="inlineStr">
        <is>
          <t xml:space="preserve">RENT-G7X-P</t>
        </is>
      </c>
      <c r="H5" s="1" t="n">
        <v>11</v>
      </c>
      <c r="I5" s="1" t="n">
        <f aca="false">IF(AND('Guided Configurator'!$C11&lt;&gt;"",'Guided Configurator'!$N11&gt;0),1,0)</f>
        <v>0</v>
      </c>
      <c r="J5" s="1" t="str">
        <f aca="false">IF(I5=1,SUM($I$2:I5),"")</f>
        <v/>
      </c>
      <c r="L5" s="1" t="n">
        <v>9</v>
      </c>
      <c r="M5" s="1" t="n">
        <f aca="false">IF(AND('Accessories &amp; Services'!$B9="Yes",'Accessories &amp; Services'!$C9&lt;&gt;""),1,0)</f>
        <v>0</v>
      </c>
      <c r="N5" s="1" t="str">
        <f aca="false">IF(M5=1,SUM($M$2:M5),"")</f>
        <v/>
      </c>
      <c r="P5" s="1" t="inlineStr">
        <is>
          <t xml:space="preserve">H2, NH3, SO2, PID (6ASV)</t>
        </is>
      </c>
      <c r="Q5" s="1" t="inlineStr">
        <is>
          <t xml:space="preserve">6ASV</t>
        </is>
      </c>
      <c r="R5" s="1" t="inlineStr">
        <is>
          <t xml:space="preserve">RENT-EX8-GEM-03</t>
        </is>
      </c>
    </row>
    <row r="6" customFormat="false" ht="15" hidden="false" customHeight="true" outlineLevel="0" collapsed="false">
      <c r="A6" s="1" t="inlineStr">
        <is>
          <t xml:space="preserve">EXO Diffusion</t>
        </is>
      </c>
      <c r="B6" s="1" t="inlineStr">
        <is>
          <t xml:space="preserve">RENT-G7EXO</t>
        </is>
      </c>
      <c r="C6" s="1" t="inlineStr">
        <is>
          <t xml:space="preserve">RENT-EXO-~-X</t>
        </is>
      </c>
      <c r="H6" s="1" t="n">
        <v>12</v>
      </c>
      <c r="I6" s="1" t="n">
        <f aca="false">IF(AND('Guided Configurator'!$C12&lt;&gt;"",'Guided Configurator'!$N12&gt;0),1,0)</f>
        <v>0</v>
      </c>
      <c r="J6" s="1" t="str">
        <f aca="false">IF(I6=1,SUM($I$2:I6),"")</f>
        <v/>
      </c>
      <c r="L6" s="1" t="n">
        <v>10</v>
      </c>
      <c r="M6" s="1" t="n">
        <f aca="false">IF(AND('Accessories &amp; Services'!$B10="Yes",'Accessories &amp; Services'!$C10&lt;&gt;""),1,0)</f>
        <v>0</v>
      </c>
      <c r="N6" s="1" t="str">
        <f aca="false">IF(M6=1,SUM($M$2:M6),"")</f>
        <v/>
      </c>
      <c r="P6" s="1" t="inlineStr">
        <is>
          <t xml:space="preserve">NH3, H2S, SO2 (AHSX)</t>
        </is>
      </c>
      <c r="Q6" s="1" t="inlineStr">
        <is>
          <t xml:space="preserve">AHSX</t>
        </is>
      </c>
      <c r="R6" s="1" t="inlineStr">
        <is>
          <t xml:space="preserve">RENT-EX8-GEM-04</t>
        </is>
      </c>
    </row>
    <row r="7" customFormat="false" ht="15" hidden="false" customHeight="true" outlineLevel="0" collapsed="false">
      <c r="A7" s="1" t="inlineStr">
        <is>
          <t xml:space="preserve">EXO Pumped</t>
        </is>
      </c>
      <c r="B7" s="1" t="inlineStr">
        <is>
          <t xml:space="preserve">RENT-G7EXO-PUMPED</t>
        </is>
      </c>
      <c r="C7" s="1" t="inlineStr">
        <is>
          <t xml:space="preserve">RENT-EXO-~-P</t>
        </is>
      </c>
      <c r="H7" s="1" t="n">
        <v>13</v>
      </c>
      <c r="I7" s="1" t="n">
        <f aca="false">IF(AND('Guided Configurator'!$C13&lt;&gt;"",'Guided Configurator'!$N13&gt;0),1,0)</f>
        <v>0</v>
      </c>
      <c r="J7" s="1" t="str">
        <f aca="false">IF(I7=1,SUM($I$2:I7),"")</f>
        <v/>
      </c>
      <c r="L7" s="1" t="n">
        <v>11</v>
      </c>
      <c r="M7" s="1" t="n">
        <f aca="false">IF(AND('Accessories &amp; Services'!$B11="Yes",'Accessories &amp; Services'!$C11&lt;&gt;""),1,0)</f>
        <v>0</v>
      </c>
      <c r="N7" s="1" t="str">
        <f aca="false">IF(M7=1,SUM($M$2:M7),"")</f>
        <v/>
      </c>
      <c r="P7" s="1" t="inlineStr">
        <is>
          <t xml:space="preserve">H2, NH3, Cl2, PID (6ALV)</t>
        </is>
      </c>
      <c r="Q7" s="1" t="inlineStr">
        <is>
          <t xml:space="preserve">6ALV</t>
        </is>
      </c>
      <c r="R7" s="1" t="inlineStr">
        <is>
          <t xml:space="preserve">RENT-EX8-GEM-11</t>
        </is>
      </c>
    </row>
    <row r="8" customFormat="false" ht="15" hidden="false" customHeight="true" outlineLevel="0" collapsed="false">
      <c r="H8" s="1" t="n">
        <v>14</v>
      </c>
      <c r="I8" s="1" t="n">
        <f aca="false">IF(AND('Guided Configurator'!$C14&lt;&gt;"",'Guided Configurator'!$N14&gt;0),1,0)</f>
        <v>0</v>
      </c>
      <c r="J8" s="1" t="str">
        <f aca="false">IF(I8=1,SUM($I$2:I8),"")</f>
        <v/>
      </c>
      <c r="L8" s="1" t="n">
        <v>12</v>
      </c>
      <c r="M8" s="1" t="n">
        <f aca="false">IF(AND('Accessories &amp; Services'!$B12="Yes",'Accessories &amp; Services'!$C12&lt;&gt;""),1,0)</f>
        <v>0</v>
      </c>
      <c r="N8" s="1" t="str">
        <f aca="false">IF(M8=1,SUM($M$2:M8),"")</f>
        <v/>
      </c>
      <c r="P8" s="1" t="inlineStr">
        <is>
          <t xml:space="preserve">H2, Cl2, HCN, PID (6LNV)</t>
        </is>
      </c>
      <c r="Q8" s="1" t="inlineStr">
        <is>
          <t xml:space="preserve">6LNV</t>
        </is>
      </c>
      <c r="R8" s="1" t="inlineStr">
        <is>
          <t xml:space="preserve">RENT-EX8-GEM-05</t>
        </is>
      </c>
    </row>
    <row r="9" customFormat="false" ht="15" hidden="false" customHeight="true" outlineLevel="0" collapsed="false">
      <c r="H9" s="1" t="n">
        <v>15</v>
      </c>
      <c r="I9" s="1" t="n">
        <f aca="false">IF(AND('Guided Configurator'!$C15&lt;&gt;"",'Guided Configurator'!$N15&gt;0),1,0)</f>
        <v>0</v>
      </c>
      <c r="J9" s="1" t="str">
        <f aca="false">IF(I9=1,SUM($I$2:I9),"")</f>
        <v/>
      </c>
      <c r="L9" s="1" t="n">
        <v>13</v>
      </c>
      <c r="M9" s="1" t="n">
        <f aca="false">IF(AND('Accessories &amp; Services'!$B13="Yes",'Accessories &amp; Services'!$C13&lt;&gt;""),1,0)</f>
        <v>0</v>
      </c>
      <c r="N9" s="1" t="str">
        <f aca="false">IF(M9=1,SUM($M$2:M9),"")</f>
        <v/>
      </c>
      <c r="P9" s="1" t="inlineStr">
        <is>
          <t xml:space="preserve">NH3, Cl2, HCN, PID (ALNV)</t>
        </is>
      </c>
      <c r="Q9" s="1" t="inlineStr">
        <is>
          <t xml:space="preserve">ALNV</t>
        </is>
      </c>
      <c r="R9" s="1" t="inlineStr">
        <is>
          <t xml:space="preserve">RENT-EX8-GEM-06</t>
        </is>
      </c>
    </row>
    <row r="10" customFormat="false" ht="15" hidden="false" customHeight="true" outlineLevel="0" collapsed="false">
      <c r="H10" s="1" t="n">
        <v>16</v>
      </c>
      <c r="I10" s="1" t="n">
        <f aca="false">IF(AND('Guided Configurator'!$C16&lt;&gt;"",'Guided Configurator'!$N16&gt;0),1,0)</f>
        <v>0</v>
      </c>
      <c r="J10" s="1" t="str">
        <f aca="false">IF(I10=1,SUM($I$2:I10),"")</f>
        <v/>
      </c>
      <c r="L10" s="1" t="n">
        <v>14</v>
      </c>
      <c r="M10" s="1" t="n">
        <f aca="false">IF(AND('Accessories &amp; Services'!$B14="Yes",'Accessories &amp; Services'!$C14&lt;&gt;""),1,0)</f>
        <v>0</v>
      </c>
      <c r="N10" s="1" t="str">
        <f aca="false">IF(M10=1,SUM($M$2:M10),"")</f>
        <v/>
      </c>
      <c r="P10" s="1" t="inlineStr">
        <is>
          <t xml:space="preserve">HF, H2, HCN (26NX)</t>
        </is>
      </c>
      <c r="Q10" s="1" t="inlineStr">
        <is>
          <t xml:space="preserve">26NX</t>
        </is>
      </c>
      <c r="R10" s="1" t="inlineStr">
        <is>
          <t xml:space="preserve">RENT-EX8-GEM-07</t>
        </is>
      </c>
    </row>
    <row r="11" customFormat="false" ht="15" hidden="false" customHeight="true" outlineLevel="0" collapsed="false">
      <c r="H11" s="1" t="n">
        <v>17</v>
      </c>
      <c r="I11" s="1" t="n">
        <f aca="false">IF(AND('Guided Configurator'!$C17&lt;&gt;"",'Guided Configurator'!$N17&gt;0),1,0)</f>
        <v>0</v>
      </c>
      <c r="J11" s="1" t="str">
        <f aca="false">IF(I11=1,SUM($I$2:I11),"")</f>
        <v/>
      </c>
      <c r="L11" s="1" t="n">
        <v>15</v>
      </c>
      <c r="M11" s="1" t="n">
        <f aca="false">IF(AND('Accessories &amp; Services'!$B15="Yes",'Accessories &amp; Services'!$C15&lt;&gt;""),1,0)</f>
        <v>0</v>
      </c>
      <c r="N11" s="1" t="str">
        <f aca="false">IF(M11=1,SUM($M$2:M11),"")</f>
        <v/>
      </c>
      <c r="P11" s="1" t="inlineStr">
        <is>
          <t xml:space="preserve">HF, NH3, Cl2, PID (2ALV)</t>
        </is>
      </c>
      <c r="Q11" s="1" t="inlineStr">
        <is>
          <t xml:space="preserve">2ALV</t>
        </is>
      </c>
      <c r="R11" s="1" t="inlineStr">
        <is>
          <t xml:space="preserve">RENT-EX8-GEM-12</t>
        </is>
      </c>
    </row>
    <row r="12" customFormat="false" ht="15" hidden="false" customHeight="true" outlineLevel="0" collapsed="false">
      <c r="L12" s="1" t="n">
        <v>16</v>
      </c>
      <c r="M12" s="1" t="n">
        <f aca="false">IF(AND('Accessories &amp; Services'!$B16="Yes",'Accessories &amp; Services'!$C16&lt;&gt;""),1,0)</f>
        <v>0</v>
      </c>
      <c r="N12" s="1" t="str">
        <f aca="false">IF(M12=1,SUM($M$2:M12),"")</f>
        <v/>
      </c>
      <c r="P12" s="1" t="inlineStr">
        <is>
          <t xml:space="preserve">NH3, H2S, Cl2, PID (AHLV)</t>
        </is>
      </c>
      <c r="Q12" s="1" t="inlineStr">
        <is>
          <t xml:space="preserve">AHLV</t>
        </is>
      </c>
      <c r="R12" s="1" t="inlineStr">
        <is>
          <t xml:space="preserve">RENT-EX8-GEM-09</t>
        </is>
      </c>
    </row>
    <row r="13" customFormat="false" ht="15" hidden="false" customHeight="true" outlineLevel="0" collapsed="false">
      <c r="L13" s="1" t="n">
        <v>17</v>
      </c>
      <c r="M13" s="1" t="n">
        <f aca="false">IF(AND('Accessories &amp; Services'!$B17="Yes",'Accessories &amp; Services'!$C17&lt;&gt;""),1,0)</f>
        <v>0</v>
      </c>
      <c r="N13" s="1" t="str">
        <f aca="false">IF(M13=1,SUM($M$2:M13),"")</f>
        <v/>
      </c>
      <c r="P13" s="1" t="inlineStr">
        <is>
          <t xml:space="preserve">O3, H2, Cl2, SO2 (EHLS)</t>
        </is>
      </c>
      <c r="Q13" s="1" t="inlineStr">
        <is>
          <t xml:space="preserve">EHLS</t>
        </is>
      </c>
      <c r="R13" s="1" t="inlineStr">
        <is>
          <t xml:space="preserve">RENT-EX8-GEM-08</t>
        </is>
      </c>
    </row>
    <row r="14" customFormat="false" ht="15" hidden="false" customHeight="true" outlineLevel="0" collapsed="false">
      <c r="L14" s="1" t="n">
        <v>18</v>
      </c>
      <c r="M14" s="1" t="n">
        <f aca="false">IF(AND('Accessories &amp; Services'!$B18="Yes",'Accessories &amp; Services'!$C18&lt;&gt;""),1,0)</f>
        <v>0</v>
      </c>
      <c r="N14" s="1" t="str">
        <f aca="false">IF(M14=1,SUM($M$2:M14),"")</f>
        <v/>
      </c>
    </row>
    <row r="15" customFormat="false" ht="15" hidden="false" customHeight="true" outlineLevel="0" collapsed="false">
      <c r="L15" s="1" t="n">
        <v>19</v>
      </c>
      <c r="M15" s="1" t="n">
        <f aca="false">IF(AND('Accessories &amp; Services'!$B19="Yes",'Accessories &amp; Services'!$C19&lt;&gt;""),1,0)</f>
        <v>0</v>
      </c>
      <c r="N15" s="1" t="str">
        <f aca="false">IF(M15=1,SUM($M$2:M15),"")</f>
        <v/>
      </c>
    </row>
    <row r="16" customFormat="false" ht="15" hidden="false" customHeight="true" outlineLevel="0" collapsed="false">
      <c r="L16" s="1" t="n">
        <v>20</v>
      </c>
      <c r="M16" s="1" t="n">
        <f aca="false">IF(AND('Accessories &amp; Services'!$B20="Yes",'Accessories &amp; Services'!$C20&lt;&gt;""),1,0)</f>
        <v>0</v>
      </c>
      <c r="N16" s="1" t="str">
        <f aca="false">IF(M16=1,SUM($M$2:M16),"")</f>
        <v/>
      </c>
    </row>
    <row r="17" customFormat="false" ht="15" hidden="false" customHeight="true" outlineLevel="0" collapsed="false">
      <c r="L17" s="1" t="n">
        <v>21</v>
      </c>
      <c r="M17" s="1" t="n">
        <f aca="false">IF(AND('Accessories &amp; Services'!$B21="Yes",'Accessories &amp; Services'!$C21&lt;&gt;""),1,0)</f>
        <v>0</v>
      </c>
      <c r="N17" s="1" t="str">
        <f aca="false">IF(M17=1,SUM($M$2:M17),"")</f>
        <v/>
      </c>
    </row>
    <row r="18" customFormat="false" ht="15" hidden="false" customHeight="true" outlineLevel="0" collapsed="false">
      <c r="L18" s="1" t="n">
        <v>22</v>
      </c>
      <c r="M18" s="1" t="n">
        <f aca="false">IF(AND('Accessories &amp; Services'!$B22="Yes",'Accessories &amp; Services'!$C22&lt;&gt;""),1,0)</f>
        <v>0</v>
      </c>
      <c r="N18" s="1" t="str">
        <f aca="false">IF(M18=1,SUM($M$2:M18),"")</f>
        <v/>
      </c>
    </row>
    <row r="19" customFormat="false" ht="15" hidden="false" customHeight="true" outlineLevel="0" collapsed="false">
      <c r="L19" s="1" t="n">
        <v>23</v>
      </c>
      <c r="M19" s="1" t="n">
        <f aca="false">IF(AND('Accessories &amp; Services'!$B23="Yes",'Accessories &amp; Services'!$C23&lt;&gt;""),1,0)</f>
        <v>0</v>
      </c>
      <c r="N19" s="1" t="str">
        <f aca="false">IF(M19=1,SUM($M$2:M19),"")</f>
        <v/>
      </c>
    </row>
    <row r="20" customFormat="false" ht="15" hidden="false" customHeight="true" outlineLevel="0" collapsed="false">
      <c r="L20" s="1" t="n">
        <v>24</v>
      </c>
      <c r="M20" s="1" t="n">
        <f aca="false">IF(AND('Accessories &amp; Services'!$B24="Yes",'Accessories &amp; Services'!$C24&lt;&gt;""),1,0)</f>
        <v>0</v>
      </c>
      <c r="N20" s="1" t="str">
        <f aca="false">IF(M20=1,SUM($M$2:M20),"")</f>
        <v/>
      </c>
    </row>
    <row r="21" customFormat="false" ht="15" hidden="false" customHeight="true" outlineLevel="0" collapsed="false">
      <c r="L21" s="1" t="n">
        <v>25</v>
      </c>
      <c r="M21" s="1" t="n">
        <f aca="false">IF(AND('Accessories &amp; Services'!$B25="Yes",'Accessories &amp; Services'!$C25&lt;&gt;""),1,0)</f>
        <v>0</v>
      </c>
      <c r="N21" s="1" t="str">
        <f aca="false">IF(M21=1,SUM($M$2:M21),"")</f>
        <v/>
      </c>
    </row>
    <row r="22" customFormat="false" ht="15" hidden="false" customHeight="true" outlineLevel="0" collapsed="false">
      <c r="L22" s="1" t="n">
        <v>26</v>
      </c>
      <c r="M22" s="1" t="n">
        <f aca="false">IF(AND('Accessories &amp; Services'!$B26="Yes",'Accessories &amp; Services'!$C26&lt;&gt;""),1,0)</f>
        <v>0</v>
      </c>
      <c r="N22" s="1" t="str">
        <f aca="false">IF(M22=1,SUM($M$2:M22),"")</f>
        <v/>
      </c>
    </row>
    <row r="23" customFormat="false" ht="15" hidden="false" customHeight="true" outlineLevel="0" collapsed="false">
      <c r="L23" s="1" t="n">
        <v>27</v>
      </c>
      <c r="M23" s="1" t="n">
        <f aca="false">IF(AND('Accessories &amp; Services'!$B27="Yes",'Accessories &amp; Services'!$C27&lt;&gt;""),1,0)</f>
        <v>0</v>
      </c>
      <c r="N23" s="1" t="str">
        <f aca="false">IF(M23=1,SUM($M$2:M23),"")</f>
        <v/>
      </c>
    </row>
    <row r="24" customFormat="false" ht="15" hidden="false" customHeight="true" outlineLevel="0" collapsed="false">
      <c r="L24" s="1" t="n">
        <v>28</v>
      </c>
      <c r="M24" s="1" t="n">
        <f aca="false">IF(AND('Accessories &amp; Services'!$B28="Yes",'Accessories &amp; Services'!$C28&lt;&gt;""),1,0)</f>
        <v>0</v>
      </c>
      <c r="N24" s="1" t="str">
        <f aca="false">IF(M24=1,SUM($M$2:M24),"")</f>
        <v/>
      </c>
    </row>
    <row r="25" customFormat="false" ht="15" hidden="false" customHeight="true" outlineLevel="0" collapsed="false">
      <c r="L25" s="1" t="n">
        <v>29</v>
      </c>
      <c r="M25" s="1" t="n">
        <f aca="false">IF(AND('Accessories &amp; Services'!$B29="Yes",'Accessories &amp; Services'!$C29&lt;&gt;""),1,0)</f>
        <v>0</v>
      </c>
      <c r="N25" s="1" t="str">
        <f aca="false">IF(M25=1,SUM($M$2:M25),"")</f>
        <v/>
      </c>
    </row>
    <row r="26" customFormat="false" ht="15" hidden="false" customHeight="true" outlineLevel="0" collapsed="false">
      <c r="L26" s="1" t="n">
        <v>30</v>
      </c>
      <c r="M26" s="1" t="n">
        <f aca="false">IF(AND('Accessories &amp; Services'!$B30="Yes",'Accessories &amp; Services'!$C30&lt;&gt;""),1,0)</f>
        <v>0</v>
      </c>
      <c r="N26" s="1" t="str">
        <f aca="false">IF(M26=1,SUM($M$2:M26),"")</f>
        <v/>
      </c>
    </row>
    <row r="27" customFormat="false" ht="15" hidden="false" customHeight="true" outlineLevel="0" collapsed="false">
      <c r="L27" s="1" t="n">
        <v>31</v>
      </c>
      <c r="M27" s="1" t="n">
        <f aca="false">IF(AND('Accessories &amp; Services'!$B31="Yes",'Accessories &amp; Services'!$C31&lt;&gt;""),1,0)</f>
        <v>0</v>
      </c>
      <c r="N27" s="1" t="str">
        <f aca="false">IF(M27=1,SUM($M$2:M27),"")</f>
        <v/>
      </c>
    </row>
    <row r="28" customFormat="false" ht="15" hidden="false" customHeight="true" outlineLevel="0" collapsed="false">
      <c r="L28" s="1" t="n">
        <v>32</v>
      </c>
      <c r="M28" s="1" t="n">
        <f aca="false">IF(AND('Accessories &amp; Services'!$B32="Yes",'Accessories &amp; Services'!$C32&lt;&gt;""),1,0)</f>
        <v>0</v>
      </c>
      <c r="N28" s="1" t="str">
        <f aca="false">IF(M28=1,SUM($M$2:M28),"")</f>
        <v/>
      </c>
    </row>
    <row r="29" customFormat="false" ht="15" hidden="false" customHeight="true" outlineLevel="0" collapsed="false">
      <c r="L29" s="1" t="n">
        <v>33</v>
      </c>
      <c r="M29" s="1" t="n">
        <f aca="false">IF(AND('Accessories &amp; Services'!$B33="Yes",'Accessories &amp; Services'!$C33&lt;&gt;""),1,0)</f>
        <v>0</v>
      </c>
      <c r="N29" s="1" t="str">
        <f aca="false">IF(M29=1,SUM($M$2:M29),"")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2026-07-10T19:45:54Z</dcterms:created>
  <dc:creator>openpyxl</dc:creator>
  <dc:description/>
  <dc:language>en-US</dc:language>
  <cp:lastModifiedBy/>
  <dcterms:modified xsi:type="dcterms:W3CDTF">2026-07-10T19:52:52Z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