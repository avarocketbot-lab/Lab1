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uote" sheetId="1" r:id="rId1"/>
    <sheet name="Price List" sheetId="2" r:id="rId2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%"/>
  </numFmts>
  <fonts count="5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6"/>
      <color rgb="FF1F3864"/>
      <name val="Calibri"/>
    </font>
    <font>
      <sz val="11"/>
      <color rgb="FF8080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3" borderId="1" xfId="0" applyFill="1" applyBorder="1"/>
    <xf numFmtId="164" fontId="0" fillId="3" borderId="1" xfId="0" applyNumberFormat="1" applyFill="1" applyBorder="1"/>
    <xf numFmtId="165" fontId="0" fillId="3" borderId="1" xfId="0" applyNumberFormat="1" applyFill="1" applyBorder="1" applyAlignment="1">
      <alignment horizontal="center"/>
    </xf>
    <xf numFmtId="164" fontId="1" fillId="4" borderId="1" xfId="0" applyNumberFormat="1" applyFont="1" applyFill="1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1" fillId="4" borderId="1" xfId="0" applyFont="1" applyFill="1" applyBorder="1" applyAlignment="1">
      <alignment horizontal="right"/>
    </xf>
    <xf numFmtId="0" fontId="1" fillId="0" borderId="1" xfId="0" applyFont="1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H44"/>
  <sheetViews>
    <sheetView tabSelected="1" showGridLines="0" workbookViewId="0"/>
  </sheetViews>
  <sheetFormatPr defaultRowHeight="15"/>
  <cols>
    <col min="1" max="1" width="4"/>
    <col min="2" max="2" width="30"/>
    <col min="3" max="3" width="52"/>
    <col min="4" max="4" width="11"/>
    <col min="5" max="5" width="7"/>
    <col min="6" max="6" width="7"/>
    <col min="7" max="7" width="14"/>
    <col min="8" max="8" width="14"/>
  </cols>
  <sheetData>
    <row r="1">
      <c r="A1" s="9" t="inlineStr">
        <is>
          <t xml:space="preserve">RENTAL QUOTE  —  Blackline Safety</t>
        </is>
      </c>
    </row>
    <row r="2">
      <c r="A2" s="1" t="inlineStr">
        <is>
          <t xml:space="preserve">Prepared for (Customer):</t>
        </is>
      </c>
      <c r="C2" s="4" t="inlineStr">
        <is>
          <t xml:space="preserve"/>
        </is>
      </c>
    </row>
    <row r="3">
      <c r="A3" s="1" t="inlineStr">
        <is>
          <t xml:space="preserve">Quote Date:</t>
        </is>
      </c>
      <c r="C3" s="4" t="inlineStr">
        <is>
          <t xml:space="preserve"/>
        </is>
      </c>
    </row>
    <row r="4">
      <c r="A4" s="1" t="inlineStr">
        <is>
          <t xml:space="preserve">Prepared by:</t>
        </is>
      </c>
      <c r="C4" s="4" t="inlineStr">
        <is>
          <t xml:space="preserve"/>
        </is>
      </c>
    </row>
    <row r="5">
      <c r="A5" s="1" t="inlineStr">
        <is>
          <t xml:space="preserve">Rates valid for:</t>
        </is>
      </c>
      <c r="C5" s="4">
        <v>2026</v>
      </c>
    </row>
    <row r="6">
      <c r="A6" s="1" t="inlineStr">
        <is>
          <t xml:space="preserve">Discount off list:</t>
        </is>
      </c>
      <c r="C6" s="6">
        <v>0.2</v>
      </c>
      <c r="D6" s="10" t="inlineStr">
        <is>
          <t xml:space="preserve">(pick 0, 0.10, 0.15, 0.20, 0.25 — applies to discountable items)</t>
        </is>
      </c>
    </row>
    <row r="7">
      <c r="A7" s="0" t="inlineStr">
        <is>
          <t xml:space="preserve"/>
        </is>
      </c>
    </row>
    <row r="8">
      <c r="A8" s="2" t="inlineStr">
        <is>
          <t xml:space="preserve">#</t>
        </is>
      </c>
      <c r="B8" s="2" t="inlineStr">
        <is>
          <t xml:space="preserve">SKU  (pick from list)</t>
        </is>
      </c>
      <c r="C8" s="2" t="inlineStr">
        <is>
          <t xml:space="preserve">Description</t>
        </is>
      </c>
      <c r="D8" s="2" t="inlineStr">
        <is>
          <t xml:space="preserve">List/day</t>
        </is>
      </c>
      <c r="E8" s="2" t="inlineStr">
        <is>
          <t xml:space="preserve">Qty</t>
        </is>
      </c>
      <c r="F8" s="2" t="inlineStr">
        <is>
          <t xml:space="preserve">Days</t>
        </is>
      </c>
      <c r="G8" s="2" t="inlineStr">
        <is>
          <t xml:space="preserve">Unit rate/day</t>
        </is>
      </c>
      <c r="H8" s="2" t="inlineStr">
        <is>
          <t xml:space="preserve">Line Total</t>
        </is>
      </c>
    </row>
    <row r="9">
      <c r="A9" s="8">
        <v>1</v>
      </c>
      <c r="B9" s="4"/>
      <c r="C9" s="8">
        <f>IF($B9="","",IFERROR(VLOOKUP($B9,'Price List'!$A:$E,2,FALSE),"?"))</f>
      </c>
      <c r="D9" s="3">
        <f>IF($B9="","",IFERROR(VLOOKUP($B9,'Price List'!$A:$E,4,FALSE),""))</f>
      </c>
      <c r="E9" s="4"/>
      <c r="F9" s="4"/>
      <c r="G9" s="3">
        <f>IF($B9="","",$D9*(1-IF(VLOOKUP($B9,'Price List'!$A:$E,5,FALSE)=1,$C$6,0)))</f>
      </c>
      <c r="H9" s="3">
        <f>IF(OR($B9="",$E9="",$F9=""),0,$G9*$E9*$F9)</f>
      </c>
    </row>
    <row r="10">
      <c r="A10" s="8">
        <v>2</v>
      </c>
      <c r="B10" s="4"/>
      <c r="C10" s="8">
        <f>IF($B10="","",IFERROR(VLOOKUP($B10,'Price List'!$A:$E,2,FALSE),"?"))</f>
      </c>
      <c r="D10" s="3">
        <f>IF($B10="","",IFERROR(VLOOKUP($B10,'Price List'!$A:$E,4,FALSE),""))</f>
      </c>
      <c r="E10" s="4"/>
      <c r="F10" s="4"/>
      <c r="G10" s="3">
        <f>IF($B10="","",$D10*(1-IF(VLOOKUP($B10,'Price List'!$A:$E,5,FALSE)=1,$C$6,0)))</f>
      </c>
      <c r="H10" s="3">
        <f>IF(OR($B10="",$E10="",$F10=""),0,$G10*$E10*$F10)</f>
      </c>
    </row>
    <row r="11">
      <c r="A11" s="8">
        <v>3</v>
      </c>
      <c r="B11" s="4"/>
      <c r="C11" s="8">
        <f>IF($B11="","",IFERROR(VLOOKUP($B11,'Price List'!$A:$E,2,FALSE),"?"))</f>
      </c>
      <c r="D11" s="3">
        <f>IF($B11="","",IFERROR(VLOOKUP($B11,'Price List'!$A:$E,4,FALSE),""))</f>
      </c>
      <c r="E11" s="4"/>
      <c r="F11" s="4"/>
      <c r="G11" s="3">
        <f>IF($B11="","",$D11*(1-IF(VLOOKUP($B11,'Price List'!$A:$E,5,FALSE)=1,$C$6,0)))</f>
      </c>
      <c r="H11" s="3">
        <f>IF(OR($B11="",$E11="",$F11=""),0,$G11*$E11*$F11)</f>
      </c>
    </row>
    <row r="12">
      <c r="A12" s="8">
        <v>4</v>
      </c>
      <c r="B12" s="4"/>
      <c r="C12" s="8">
        <f>IF($B12="","",IFERROR(VLOOKUP($B12,'Price List'!$A:$E,2,FALSE),"?"))</f>
      </c>
      <c r="D12" s="3">
        <f>IF($B12="","",IFERROR(VLOOKUP($B12,'Price List'!$A:$E,4,FALSE),""))</f>
      </c>
      <c r="E12" s="4"/>
      <c r="F12" s="4"/>
      <c r="G12" s="3">
        <f>IF($B12="","",$D12*(1-IF(VLOOKUP($B12,'Price List'!$A:$E,5,FALSE)=1,$C$6,0)))</f>
      </c>
      <c r="H12" s="3">
        <f>IF(OR($B12="",$E12="",$F12=""),0,$G12*$E12*$F12)</f>
      </c>
    </row>
    <row r="13">
      <c r="A13" s="8">
        <v>5</v>
      </c>
      <c r="B13" s="4"/>
      <c r="C13" s="8">
        <f>IF($B13="","",IFERROR(VLOOKUP($B13,'Price List'!$A:$E,2,FALSE),"?"))</f>
      </c>
      <c r="D13" s="3">
        <f>IF($B13="","",IFERROR(VLOOKUP($B13,'Price List'!$A:$E,4,FALSE),""))</f>
      </c>
      <c r="E13" s="4"/>
      <c r="F13" s="4"/>
      <c r="G13" s="3">
        <f>IF($B13="","",$D13*(1-IF(VLOOKUP($B13,'Price List'!$A:$E,5,FALSE)=1,$C$6,0)))</f>
      </c>
      <c r="H13" s="3">
        <f>IF(OR($B13="",$E13="",$F13=""),0,$G13*$E13*$F13)</f>
      </c>
    </row>
    <row r="14">
      <c r="A14" s="8">
        <v>6</v>
      </c>
      <c r="B14" s="4"/>
      <c r="C14" s="8">
        <f>IF($B14="","",IFERROR(VLOOKUP($B14,'Price List'!$A:$E,2,FALSE),"?"))</f>
      </c>
      <c r="D14" s="3">
        <f>IF($B14="","",IFERROR(VLOOKUP($B14,'Price List'!$A:$E,4,FALSE),""))</f>
      </c>
      <c r="E14" s="4"/>
      <c r="F14" s="4"/>
      <c r="G14" s="3">
        <f>IF($B14="","",$D14*(1-IF(VLOOKUP($B14,'Price List'!$A:$E,5,FALSE)=1,$C$6,0)))</f>
      </c>
      <c r="H14" s="3">
        <f>IF(OR($B14="",$E14="",$F14=""),0,$G14*$E14*$F14)</f>
      </c>
    </row>
    <row r="15">
      <c r="A15" s="8">
        <v>7</v>
      </c>
      <c r="B15" s="4"/>
      <c r="C15" s="8">
        <f>IF($B15="","",IFERROR(VLOOKUP($B15,'Price List'!$A:$E,2,FALSE),"?"))</f>
      </c>
      <c r="D15" s="3">
        <f>IF($B15="","",IFERROR(VLOOKUP($B15,'Price List'!$A:$E,4,FALSE),""))</f>
      </c>
      <c r="E15" s="4"/>
      <c r="F15" s="4"/>
      <c r="G15" s="3">
        <f>IF($B15="","",$D15*(1-IF(VLOOKUP($B15,'Price List'!$A:$E,5,FALSE)=1,$C$6,0)))</f>
      </c>
      <c r="H15" s="3">
        <f>IF(OR($B15="",$E15="",$F15=""),0,$G15*$E15*$F15)</f>
      </c>
    </row>
    <row r="16">
      <c r="A16" s="8">
        <v>8</v>
      </c>
      <c r="B16" s="4"/>
      <c r="C16" s="8">
        <f>IF($B16="","",IFERROR(VLOOKUP($B16,'Price List'!$A:$E,2,FALSE),"?"))</f>
      </c>
      <c r="D16" s="3">
        <f>IF($B16="","",IFERROR(VLOOKUP($B16,'Price List'!$A:$E,4,FALSE),""))</f>
      </c>
      <c r="E16" s="4"/>
      <c r="F16" s="4"/>
      <c r="G16" s="3">
        <f>IF($B16="","",$D16*(1-IF(VLOOKUP($B16,'Price List'!$A:$E,5,FALSE)=1,$C$6,0)))</f>
      </c>
      <c r="H16" s="3">
        <f>IF(OR($B16="",$E16="",$F16=""),0,$G16*$E16*$F16)</f>
      </c>
    </row>
    <row r="17">
      <c r="A17" s="8">
        <v>9</v>
      </c>
      <c r="B17" s="4"/>
      <c r="C17" s="8">
        <f>IF($B17="","",IFERROR(VLOOKUP($B17,'Price List'!$A:$E,2,FALSE),"?"))</f>
      </c>
      <c r="D17" s="3">
        <f>IF($B17="","",IFERROR(VLOOKUP($B17,'Price List'!$A:$E,4,FALSE),""))</f>
      </c>
      <c r="E17" s="4"/>
      <c r="F17" s="4"/>
      <c r="G17" s="3">
        <f>IF($B17="","",$D17*(1-IF(VLOOKUP($B17,'Price List'!$A:$E,5,FALSE)=1,$C$6,0)))</f>
      </c>
      <c r="H17" s="3">
        <f>IF(OR($B17="",$E17="",$F17=""),0,$G17*$E17*$F17)</f>
      </c>
    </row>
    <row r="18">
      <c r="A18" s="8">
        <v>10</v>
      </c>
      <c r="B18" s="4"/>
      <c r="C18" s="8">
        <f>IF($B18="","",IFERROR(VLOOKUP($B18,'Price List'!$A:$E,2,FALSE),"?"))</f>
      </c>
      <c r="D18" s="3">
        <f>IF($B18="","",IFERROR(VLOOKUP($B18,'Price List'!$A:$E,4,FALSE),""))</f>
      </c>
      <c r="E18" s="4"/>
      <c r="F18" s="4"/>
      <c r="G18" s="3">
        <f>IF($B18="","",$D18*(1-IF(VLOOKUP($B18,'Price List'!$A:$E,5,FALSE)=1,$C$6,0)))</f>
      </c>
      <c r="H18" s="3">
        <f>IF(OR($B18="",$E18="",$F18=""),0,$G18*$E18*$F18)</f>
      </c>
    </row>
    <row r="19">
      <c r="A19" s="8">
        <v>11</v>
      </c>
      <c r="B19" s="4"/>
      <c r="C19" s="8">
        <f>IF($B19="","",IFERROR(VLOOKUP($B19,'Price List'!$A:$E,2,FALSE),"?"))</f>
      </c>
      <c r="D19" s="3">
        <f>IF($B19="","",IFERROR(VLOOKUP($B19,'Price List'!$A:$E,4,FALSE),""))</f>
      </c>
      <c r="E19" s="4"/>
      <c r="F19" s="4"/>
      <c r="G19" s="3">
        <f>IF($B19="","",$D19*(1-IF(VLOOKUP($B19,'Price List'!$A:$E,5,FALSE)=1,$C$6,0)))</f>
      </c>
      <c r="H19" s="3">
        <f>IF(OR($B19="",$E19="",$F19=""),0,$G19*$E19*$F19)</f>
      </c>
    </row>
    <row r="20">
      <c r="A20" s="8">
        <v>12</v>
      </c>
      <c r="B20" s="4"/>
      <c r="C20" s="8">
        <f>IF($B20="","",IFERROR(VLOOKUP($B20,'Price List'!$A:$E,2,FALSE),"?"))</f>
      </c>
      <c r="D20" s="3">
        <f>IF($B20="","",IFERROR(VLOOKUP($B20,'Price List'!$A:$E,4,FALSE),""))</f>
      </c>
      <c r="E20" s="4"/>
      <c r="F20" s="4"/>
      <c r="G20" s="3">
        <f>IF($B20="","",$D20*(1-IF(VLOOKUP($B20,'Price List'!$A:$E,5,FALSE)=1,$C$6,0)))</f>
      </c>
      <c r="H20" s="3">
        <f>IF(OR($B20="",$E20="",$F20=""),0,$G20*$E20*$F20)</f>
      </c>
    </row>
    <row r="21">
      <c r="A21" s="8">
        <v>13</v>
      </c>
      <c r="B21" s="4"/>
      <c r="C21" s="8">
        <f>IF($B21="","",IFERROR(VLOOKUP($B21,'Price List'!$A:$E,2,FALSE),"?"))</f>
      </c>
      <c r="D21" s="3">
        <f>IF($B21="","",IFERROR(VLOOKUP($B21,'Price List'!$A:$E,4,FALSE),""))</f>
      </c>
      <c r="E21" s="4"/>
      <c r="F21" s="4"/>
      <c r="G21" s="3">
        <f>IF($B21="","",$D21*(1-IF(VLOOKUP($B21,'Price List'!$A:$E,5,FALSE)=1,$C$6,0)))</f>
      </c>
      <c r="H21" s="3">
        <f>IF(OR($B21="",$E21="",$F21=""),0,$G21*$E21*$F21)</f>
      </c>
    </row>
    <row r="22">
      <c r="A22" s="8">
        <v>14</v>
      </c>
      <c r="B22" s="4"/>
      <c r="C22" s="8">
        <f>IF($B22="","",IFERROR(VLOOKUP($B22,'Price List'!$A:$E,2,FALSE),"?"))</f>
      </c>
      <c r="D22" s="3">
        <f>IF($B22="","",IFERROR(VLOOKUP($B22,'Price List'!$A:$E,4,FALSE),""))</f>
      </c>
      <c r="E22" s="4"/>
      <c r="F22" s="4"/>
      <c r="G22" s="3">
        <f>IF($B22="","",$D22*(1-IF(VLOOKUP($B22,'Price List'!$A:$E,5,FALSE)=1,$C$6,0)))</f>
      </c>
      <c r="H22" s="3">
        <f>IF(OR($B22="",$E22="",$F22=""),0,$G22*$E22*$F22)</f>
      </c>
    </row>
    <row r="23">
      <c r="A23" s="8">
        <v>15</v>
      </c>
      <c r="B23" s="4"/>
      <c r="C23" s="8">
        <f>IF($B23="","",IFERROR(VLOOKUP($B23,'Price List'!$A:$E,2,FALSE),"?"))</f>
      </c>
      <c r="D23" s="3">
        <f>IF($B23="","",IFERROR(VLOOKUP($B23,'Price List'!$A:$E,4,FALSE),""))</f>
      </c>
      <c r="E23" s="4"/>
      <c r="F23" s="4"/>
      <c r="G23" s="3">
        <f>IF($B23="","",$D23*(1-IF(VLOOKUP($B23,'Price List'!$A:$E,5,FALSE)=1,$C$6,0)))</f>
      </c>
      <c r="H23" s="3">
        <f>IF(OR($B23="",$E23="",$F23=""),0,$G23*$E23*$F23)</f>
      </c>
    </row>
    <row r="24">
      <c r="A24" s="8">
        <v>16</v>
      </c>
      <c r="B24" s="4"/>
      <c r="C24" s="8">
        <f>IF($B24="","",IFERROR(VLOOKUP($B24,'Price List'!$A:$E,2,FALSE),"?"))</f>
      </c>
      <c r="D24" s="3">
        <f>IF($B24="","",IFERROR(VLOOKUP($B24,'Price List'!$A:$E,4,FALSE),""))</f>
      </c>
      <c r="E24" s="4"/>
      <c r="F24" s="4"/>
      <c r="G24" s="3">
        <f>IF($B24="","",$D24*(1-IF(VLOOKUP($B24,'Price List'!$A:$E,5,FALSE)=1,$C$6,0)))</f>
      </c>
      <c r="H24" s="3">
        <f>IF(OR($B24="",$E24="",$F24=""),0,$G24*$E24*$F24)</f>
      </c>
    </row>
    <row r="25">
      <c r="A25" s="8">
        <v>17</v>
      </c>
      <c r="B25" s="4"/>
      <c r="C25" s="8">
        <f>IF($B25="","",IFERROR(VLOOKUP($B25,'Price List'!$A:$E,2,FALSE),"?"))</f>
      </c>
      <c r="D25" s="3">
        <f>IF($B25="","",IFERROR(VLOOKUP($B25,'Price List'!$A:$E,4,FALSE),""))</f>
      </c>
      <c r="E25" s="4"/>
      <c r="F25" s="4"/>
      <c r="G25" s="3">
        <f>IF($B25="","",$D25*(1-IF(VLOOKUP($B25,'Price List'!$A:$E,5,FALSE)=1,$C$6,0)))</f>
      </c>
      <c r="H25" s="3">
        <f>IF(OR($B25="",$E25="",$F25=""),0,$G25*$E25*$F25)</f>
      </c>
    </row>
    <row r="26">
      <c r="A26" s="8">
        <v>18</v>
      </c>
      <c r="B26" s="4"/>
      <c r="C26" s="8">
        <f>IF($B26="","",IFERROR(VLOOKUP($B26,'Price List'!$A:$E,2,FALSE),"?"))</f>
      </c>
      <c r="D26" s="3">
        <f>IF($B26="","",IFERROR(VLOOKUP($B26,'Price List'!$A:$E,4,FALSE),""))</f>
      </c>
      <c r="E26" s="4"/>
      <c r="F26" s="4"/>
      <c r="G26" s="3">
        <f>IF($B26="","",$D26*(1-IF(VLOOKUP($B26,'Price List'!$A:$E,5,FALSE)=1,$C$6,0)))</f>
      </c>
      <c r="H26" s="3">
        <f>IF(OR($B26="",$E26="",$F26=""),0,$G26*$E26*$F26)</f>
      </c>
    </row>
    <row r="27">
      <c r="A27" s="8">
        <v>19</v>
      </c>
      <c r="B27" s="4"/>
      <c r="C27" s="8">
        <f>IF($B27="","",IFERROR(VLOOKUP($B27,'Price List'!$A:$E,2,FALSE),"?"))</f>
      </c>
      <c r="D27" s="3">
        <f>IF($B27="","",IFERROR(VLOOKUP($B27,'Price List'!$A:$E,4,FALSE),""))</f>
      </c>
      <c r="E27" s="4"/>
      <c r="F27" s="4"/>
      <c r="G27" s="3">
        <f>IF($B27="","",$D27*(1-IF(VLOOKUP($B27,'Price List'!$A:$E,5,FALSE)=1,$C$6,0)))</f>
      </c>
      <c r="H27" s="3">
        <f>IF(OR($B27="",$E27="",$F27=""),0,$G27*$E27*$F27)</f>
      </c>
    </row>
    <row r="28">
      <c r="A28" s="8">
        <v>20</v>
      </c>
      <c r="B28" s="4"/>
      <c r="C28" s="8">
        <f>IF($B28="","",IFERROR(VLOOKUP($B28,'Price List'!$A:$E,2,FALSE),"?"))</f>
      </c>
      <c r="D28" s="3">
        <f>IF($B28="","",IFERROR(VLOOKUP($B28,'Price List'!$A:$E,4,FALSE),""))</f>
      </c>
      <c r="E28" s="4"/>
      <c r="F28" s="4"/>
      <c r="G28" s="3">
        <f>IF($B28="","",$D28*(1-IF(VLOOKUP($B28,'Price List'!$A:$E,5,FALSE)=1,$C$6,0)))</f>
      </c>
      <c r="H28" s="3">
        <f>IF(OR($B28="",$E28="",$F28=""),0,$G28*$E28*$F28)</f>
      </c>
    </row>
    <row r="29">
      <c r="A29" s="8">
        <v>21</v>
      </c>
      <c r="B29" s="4"/>
      <c r="C29" s="8">
        <f>IF($B29="","",IFERROR(VLOOKUP($B29,'Price List'!$A:$E,2,FALSE),"?"))</f>
      </c>
      <c r="D29" s="3">
        <f>IF($B29="","",IFERROR(VLOOKUP($B29,'Price List'!$A:$E,4,FALSE),""))</f>
      </c>
      <c r="E29" s="4"/>
      <c r="F29" s="4"/>
      <c r="G29" s="3">
        <f>IF($B29="","",$D29*(1-IF(VLOOKUP($B29,'Price List'!$A:$E,5,FALSE)=1,$C$6,0)))</f>
      </c>
      <c r="H29" s="3">
        <f>IF(OR($B29="",$E29="",$F29=""),0,$G29*$E29*$F29)</f>
      </c>
    </row>
    <row r="30">
      <c r="A30" s="8">
        <v>22</v>
      </c>
      <c r="B30" s="4"/>
      <c r="C30" s="8">
        <f>IF($B30="","",IFERROR(VLOOKUP($B30,'Price List'!$A:$E,2,FALSE),"?"))</f>
      </c>
      <c r="D30" s="3">
        <f>IF($B30="","",IFERROR(VLOOKUP($B30,'Price List'!$A:$E,4,FALSE),""))</f>
      </c>
      <c r="E30" s="4"/>
      <c r="F30" s="4"/>
      <c r="G30" s="3">
        <f>IF($B30="","",$D30*(1-IF(VLOOKUP($B30,'Price List'!$A:$E,5,FALSE)=1,$C$6,0)))</f>
      </c>
      <c r="H30" s="3">
        <f>IF(OR($B30="",$E30="",$F30=""),0,$G30*$E30*$F30)</f>
      </c>
    </row>
    <row r="31">
      <c r="A31" s="8">
        <v>23</v>
      </c>
      <c r="B31" s="4"/>
      <c r="C31" s="8">
        <f>IF($B31="","",IFERROR(VLOOKUP($B31,'Price List'!$A:$E,2,FALSE),"?"))</f>
      </c>
      <c r="D31" s="3">
        <f>IF($B31="","",IFERROR(VLOOKUP($B31,'Price List'!$A:$E,4,FALSE),""))</f>
      </c>
      <c r="E31" s="4"/>
      <c r="F31" s="4"/>
      <c r="G31" s="3">
        <f>IF($B31="","",$D31*(1-IF(VLOOKUP($B31,'Price List'!$A:$E,5,FALSE)=1,$C$6,0)))</f>
      </c>
      <c r="H31" s="3">
        <f>IF(OR($B31="",$E31="",$F31=""),0,$G31*$E31*$F31)</f>
      </c>
    </row>
    <row r="32">
      <c r="A32" s="8">
        <v>24</v>
      </c>
      <c r="B32" s="4"/>
      <c r="C32" s="8">
        <f>IF($B32="","",IFERROR(VLOOKUP($B32,'Price List'!$A:$E,2,FALSE),"?"))</f>
      </c>
      <c r="D32" s="3">
        <f>IF($B32="","",IFERROR(VLOOKUP($B32,'Price List'!$A:$E,4,FALSE),""))</f>
      </c>
      <c r="E32" s="4"/>
      <c r="F32" s="4"/>
      <c r="G32" s="3">
        <f>IF($B32="","",$D32*(1-IF(VLOOKUP($B32,'Price List'!$A:$E,5,FALSE)=1,$C$6,0)))</f>
      </c>
      <c r="H32" s="3">
        <f>IF(OR($B32="",$E32="",$F32=""),0,$G32*$E32*$F32)</f>
      </c>
    </row>
    <row r="33">
      <c r="A33" s="8">
        <v>25</v>
      </c>
      <c r="B33" s="4"/>
      <c r="C33" s="8">
        <f>IF($B33="","",IFERROR(VLOOKUP($B33,'Price List'!$A:$E,2,FALSE),"?"))</f>
      </c>
      <c r="D33" s="3">
        <f>IF($B33="","",IFERROR(VLOOKUP($B33,'Price List'!$A:$E,4,FALSE),""))</f>
      </c>
      <c r="E33" s="4"/>
      <c r="F33" s="4"/>
      <c r="G33" s="3">
        <f>IF($B33="","",$D33*(1-IF(VLOOKUP($B33,'Price List'!$A:$E,5,FALSE)=1,$C$6,0)))</f>
      </c>
      <c r="H33" s="3">
        <f>IF(OR($B33="",$E33="",$F33=""),0,$G33*$E33*$F33)</f>
      </c>
    </row>
    <row r="34">
      <c r="A34" s="8">
        <v>26</v>
      </c>
      <c r="B34" s="4"/>
      <c r="C34" s="8">
        <f>IF($B34="","",IFERROR(VLOOKUP($B34,'Price List'!$A:$E,2,FALSE),"?"))</f>
      </c>
      <c r="D34" s="3">
        <f>IF($B34="","",IFERROR(VLOOKUP($B34,'Price List'!$A:$E,4,FALSE),""))</f>
      </c>
      <c r="E34" s="4"/>
      <c r="F34" s="4"/>
      <c r="G34" s="3">
        <f>IF($B34="","",$D34*(1-IF(VLOOKUP($B34,'Price List'!$A:$E,5,FALSE)=1,$C$6,0)))</f>
      </c>
      <c r="H34" s="3">
        <f>IF(OR($B34="",$E34="",$F34=""),0,$G34*$E34*$F34)</f>
      </c>
    </row>
    <row r="35">
      <c r="A35" s="8">
        <v>27</v>
      </c>
      <c r="B35" s="4"/>
      <c r="C35" s="8">
        <f>IF($B35="","",IFERROR(VLOOKUP($B35,'Price List'!$A:$E,2,FALSE),"?"))</f>
      </c>
      <c r="D35" s="3">
        <f>IF($B35="","",IFERROR(VLOOKUP($B35,'Price List'!$A:$E,4,FALSE),""))</f>
      </c>
      <c r="E35" s="4"/>
      <c r="F35" s="4"/>
      <c r="G35" s="3">
        <f>IF($B35="","",$D35*(1-IF(VLOOKUP($B35,'Price List'!$A:$E,5,FALSE)=1,$C$6,0)))</f>
      </c>
      <c r="H35" s="3">
        <f>IF(OR($B35="",$E35="",$F35=""),0,$G35*$E35*$F35)</f>
      </c>
    </row>
    <row r="36">
      <c r="A36" s="8">
        <v>28</v>
      </c>
      <c r="B36" s="4"/>
      <c r="C36" s="8">
        <f>IF($B36="","",IFERROR(VLOOKUP($B36,'Price List'!$A:$E,2,FALSE),"?"))</f>
      </c>
      <c r="D36" s="3">
        <f>IF($B36="","",IFERROR(VLOOKUP($B36,'Price List'!$A:$E,4,FALSE),""))</f>
      </c>
      <c r="E36" s="4"/>
      <c r="F36" s="4"/>
      <c r="G36" s="3">
        <f>IF($B36="","",$D36*(1-IF(VLOOKUP($B36,'Price List'!$A:$E,5,FALSE)=1,$C$6,0)))</f>
      </c>
      <c r="H36" s="3">
        <f>IF(OR($B36="",$E36="",$F36=""),0,$G36*$E36*$F36)</f>
      </c>
    </row>
    <row r="37">
      <c r="A37" s="8">
        <v>29</v>
      </c>
      <c r="B37" s="4"/>
      <c r="C37" s="8">
        <f>IF($B37="","",IFERROR(VLOOKUP($B37,'Price List'!$A:$E,2,FALSE),"?"))</f>
      </c>
      <c r="D37" s="3">
        <f>IF($B37="","",IFERROR(VLOOKUP($B37,'Price List'!$A:$E,4,FALSE),""))</f>
      </c>
      <c r="E37" s="4"/>
      <c r="F37" s="4"/>
      <c r="G37" s="3">
        <f>IF($B37="","",$D37*(1-IF(VLOOKUP($B37,'Price List'!$A:$E,5,FALSE)=1,$C$6,0)))</f>
      </c>
      <c r="H37" s="3">
        <f>IF(OR($B37="",$E37="",$F37=""),0,$G37*$E37*$F37)</f>
      </c>
    </row>
    <row r="38">
      <c r="A38" s="8">
        <v>30</v>
      </c>
      <c r="B38" s="4"/>
      <c r="C38" s="8">
        <f>IF($B38="","",IFERROR(VLOOKUP($B38,'Price List'!$A:$E,2,FALSE),"?"))</f>
      </c>
      <c r="D38" s="3">
        <f>IF($B38="","",IFERROR(VLOOKUP($B38,'Price List'!$A:$E,4,FALSE),""))</f>
      </c>
      <c r="E38" s="4"/>
      <c r="F38" s="4"/>
      <c r="G38" s="3">
        <f>IF($B38="","",$D38*(1-IF(VLOOKUP($B38,'Price List'!$A:$E,5,FALSE)=1,$C$6,0)))</f>
      </c>
      <c r="H38" s="3">
        <f>IF(OR($B38="",$E38="",$F38=""),0,$G38*$E38*$F38)</f>
      </c>
    </row>
    <row r="39">
      <c r="F39" s="0" t="inlineStr">
        <is>
          <t xml:space="preserve"/>
        </is>
      </c>
      <c r="G39" s="11" t="inlineStr">
        <is>
          <t xml:space="preserve">Subtotal</t>
        </is>
      </c>
      <c r="H39" s="7">
        <f>SUM(H9:H38)</f>
      </c>
    </row>
    <row r="40">
      <c r="G40" s="11" t="inlineStr">
        <is>
          <t xml:space="preserve">Tax %</t>
        </is>
      </c>
      <c r="H40" s="6">
        <v>0.0</v>
      </c>
    </row>
    <row r="41">
      <c r="G41" s="11" t="inlineStr">
        <is>
          <t xml:space="preserve">Tax</t>
        </is>
      </c>
      <c r="H41" s="3">
        <f>H39*H40</f>
      </c>
    </row>
    <row r="42">
      <c r="G42" s="11" t="inlineStr">
        <is>
          <t xml:space="preserve">GRAND TOTAL</t>
        </is>
      </c>
      <c r="H42" s="7">
        <f>H39+H41</f>
      </c>
    </row>
    <row r="44">
      <c r="A44" s="10" t="inlineStr">
        <is>
          <t xml:space="preserve">Notes: one-time fees (move fee, training, tech hours, call-out surcharge) are entered as lines with Days = 1. Flat fees ignore the discount.</t>
        </is>
      </c>
    </row>
  </sheetData>
  <mergeCells count="1">
    <mergeCell ref="A1:H1"/>
  </mergeCells>
  <dataValidations count="2">
    <dataValidation type="list" allowBlank="1" showInputMessage="1" showErrorMessage="1" sqref="B9:B38">
      <formula1>'Price List'!$A$2:$A$115</formula1>
    </dataValidation>
    <dataValidation type="list" allowBlank="1" showErrorMessage="1" sqref="C6">
      <formula1>"0,0.1,0.15,0.2,0.25"</formula1>
    </dataValidation>
  </dataValidations>
</worksheet>
</file>

<file path=xl/worksheets/sheet2.xml><?xml version="1.0" encoding="utf-8"?>
<worksheet xmlns="http://schemas.openxmlformats.org/spreadsheetml/2006/main">
  <dimension ref="A1:E115"/>
  <sheetViews>
    <sheetView workbookViewId="0">
      <pane ySplit="1" topLeftCell="A2" activePane="bottomLeft" state="frozen"/>
    </sheetView>
  </sheetViews>
  <sheetFormatPr defaultRowHeight="15"/>
  <cols>
    <col min="1" max="1" width="30"/>
    <col min="2" max="2" width="60"/>
    <col min="3" max="3" width="30"/>
    <col min="4" max="4" width="16"/>
    <col min="5" max="5" width="12"/>
  </cols>
  <sheetData>
    <row r="1">
      <c r="A1" s="2" t="inlineStr">
        <is>
          <t xml:space="preserve">SKU</t>
        </is>
      </c>
      <c r="B1" s="2" t="inlineStr">
        <is>
          <t xml:space="preserve">Description</t>
        </is>
      </c>
      <c r="C1" s="2" t="inlineStr">
        <is>
          <t xml:space="preserve">Category</t>
        </is>
      </c>
      <c r="D1" s="2" t="inlineStr">
        <is>
          <t xml:space="preserve">List Price (daily)</t>
        </is>
      </c>
      <c r="E1" s="2" t="inlineStr">
        <is>
          <t xml:space="preserve">Discountable</t>
        </is>
      </c>
    </row>
    <row r="2">
      <c r="A2" s="8" t="inlineStr">
        <is>
          <t xml:space="preserve">RENT-G7C</t>
        </is>
      </c>
      <c r="B2" s="8" t="inlineStr">
        <is>
          <t xml:space="preserve">Rental service, G7C, diffusion, daily rate</t>
        </is>
      </c>
      <c r="C2" s="8" t="inlineStr">
        <is>
          <t xml:space="preserve">G7C Portables - Diffusion</t>
        </is>
      </c>
      <c r="D2" s="3">
        <v>10.0</v>
      </c>
      <c r="E2" s="13">
        <v>1</v>
      </c>
    </row>
    <row r="3">
      <c r="A3" s="8" t="inlineStr">
        <is>
          <t xml:space="preserve">RENT-G7C-P</t>
        </is>
      </c>
      <c r="B3" s="8" t="inlineStr">
        <is>
          <t xml:space="preserve">Rental service, G7C, pump, daily rate</t>
        </is>
      </c>
      <c r="C3" s="8" t="inlineStr">
        <is>
          <t xml:space="preserve">G7C Portables - Diffusion</t>
        </is>
      </c>
      <c r="D3" s="3">
        <v>18.0</v>
      </c>
      <c r="E3" s="13">
        <v>1</v>
      </c>
    </row>
    <row r="4">
      <c r="A4" s="8" t="inlineStr">
        <is>
          <t xml:space="preserve">RENT-G7C-Z</t>
        </is>
      </c>
      <c r="B4" s="8" t="inlineStr">
        <is>
          <t xml:space="preserve">Rental service, G7C, standard Z cart, daily rate</t>
        </is>
      </c>
      <c r="C4" s="8" t="inlineStr">
        <is>
          <t xml:space="preserve">G7C Lone Worker</t>
        </is>
      </c>
      <c r="D4" s="3">
        <v>8.0</v>
      </c>
      <c r="E4" s="13">
        <v>1</v>
      </c>
    </row>
    <row r="5">
      <c r="A5" s="8" t="inlineStr">
        <is>
          <t xml:space="preserve">RENT-G7C-S</t>
        </is>
      </c>
      <c r="B5" s="8" t="inlineStr">
        <is>
          <t xml:space="preserve">Rental service, G7C, single-gas H2S, daily rate</t>
        </is>
      </c>
      <c r="C5" s="8" t="inlineStr">
        <is>
          <t xml:space="preserve">G7C Lone Worker</t>
        </is>
      </c>
      <c r="D5" s="3">
        <v>10.0</v>
      </c>
      <c r="E5" s="13">
        <v>1</v>
      </c>
    </row>
    <row r="6">
      <c r="A6" s="8" t="inlineStr">
        <is>
          <t xml:space="preserve">RENT-G7X</t>
        </is>
      </c>
      <c r="B6" s="8" t="inlineStr">
        <is>
          <t xml:space="preserve">Rental service, G7X, diffusion, daily rate</t>
        </is>
      </c>
      <c r="C6" s="8" t="inlineStr">
        <is>
          <t xml:space="preserve">G7X Portables</t>
        </is>
      </c>
      <c r="D6" s="3">
        <v>10.0</v>
      </c>
      <c r="E6" s="13">
        <v>1</v>
      </c>
    </row>
    <row r="7">
      <c r="A7" s="8" t="inlineStr">
        <is>
          <t xml:space="preserve">RENT-G7X-P</t>
        </is>
      </c>
      <c r="B7" s="8" t="inlineStr">
        <is>
          <t xml:space="preserve">Rental service, G7X, pump, daily rate</t>
        </is>
      </c>
      <c r="C7" s="8" t="inlineStr">
        <is>
          <t xml:space="preserve">G7X Portables</t>
        </is>
      </c>
      <c r="D7" s="3">
        <v>18.0</v>
      </c>
      <c r="E7" s="13">
        <v>1</v>
      </c>
    </row>
    <row r="8">
      <c r="A8" s="8" t="inlineStr">
        <is>
          <t xml:space="preserve">RENT-G7X-Z</t>
        </is>
      </c>
      <c r="B8" s="8" t="inlineStr">
        <is>
          <t xml:space="preserve">Rental service, G7X, standard Z cart, daily rate</t>
        </is>
      </c>
      <c r="C8" s="8" t="inlineStr">
        <is>
          <t xml:space="preserve">G7X Portables - Lone Worker and Single Gas</t>
        </is>
      </c>
      <c r="D8" s="3">
        <v>8.0</v>
      </c>
      <c r="E8" s="13">
        <v>1</v>
      </c>
    </row>
    <row r="9">
      <c r="A9" s="8" t="inlineStr">
        <is>
          <t xml:space="preserve">RENT-G7X-S</t>
        </is>
      </c>
      <c r="B9" s="8" t="inlineStr">
        <is>
          <t xml:space="preserve">Rental service, G7X, single-gas, daily rate</t>
        </is>
      </c>
      <c r="C9" s="8" t="inlineStr">
        <is>
          <t xml:space="preserve">G7X Portables - Lone Worker and Single Gas</t>
        </is>
      </c>
      <c r="D9" s="3">
        <v>10.0</v>
      </c>
      <c r="E9" s="13">
        <v>1</v>
      </c>
    </row>
    <row r="10">
      <c r="A10" s="8" t="inlineStr">
        <is>
          <t xml:space="preserve">RENT-BRIDGE</t>
        </is>
      </c>
      <c r="B10" s="8" t="inlineStr">
        <is>
          <t xml:space="preserve">Rental service, G7 bridge, daily rate</t>
        </is>
      </c>
      <c r="C10" s="8" t="inlineStr">
        <is>
          <t xml:space="preserve">G7 Bridge</t>
        </is>
      </c>
      <c r="D10" s="3">
        <v>16.0</v>
      </c>
      <c r="E10" s="13">
        <v>1</v>
      </c>
    </row>
    <row r="11">
      <c r="A11" s="8" t="inlineStr">
        <is>
          <t xml:space="preserve">RENT-G7EXO</t>
        </is>
      </c>
      <c r="B11" s="8" t="inlineStr">
        <is>
          <t xml:space="preserve">Rental service, EXO, daily rate</t>
        </is>
      </c>
      <c r="C11" s="8" t="inlineStr">
        <is>
          <t xml:space="preserve">EXO Area Monitor</t>
        </is>
      </c>
      <c r="D11" s="3">
        <v>42.0</v>
      </c>
      <c r="E11" s="13">
        <v>1</v>
      </c>
    </row>
    <row r="12">
      <c r="A12" s="8" t="inlineStr">
        <is>
          <t xml:space="preserve">RENT-G7EXO-PUMP</t>
        </is>
      </c>
      <c r="B12" s="8" t="inlineStr">
        <is>
          <t xml:space="preserve">Rental service, EXO, pump module, daily rate</t>
        </is>
      </c>
      <c r="C12" s="8" t="inlineStr">
        <is>
          <t xml:space="preserve">EXO Area Monitor</t>
        </is>
      </c>
      <c r="D12" s="3">
        <v>15.0</v>
      </c>
      <c r="E12" s="13">
        <v>1</v>
      </c>
    </row>
    <row r="13">
      <c r="A13" s="8" t="inlineStr">
        <is>
          <t xml:space="preserve">RENT-G7EXO-SAT</t>
        </is>
      </c>
      <c r="B13" s="8" t="inlineStr">
        <is>
          <t xml:space="preserve">Rental service, EXO, satellite module, daily rate</t>
        </is>
      </c>
      <c r="C13" s="8" t="inlineStr">
        <is>
          <t xml:space="preserve">EXO Area Monitor</t>
        </is>
      </c>
      <c r="D13" s="3">
        <v>35.0</v>
      </c>
      <c r="E13" s="13">
        <v>1</v>
      </c>
    </row>
    <row r="14">
      <c r="A14" s="8" t="inlineStr">
        <is>
          <t xml:space="preserve">RENT-G7EXO-TRANSLATOR</t>
        </is>
      </c>
      <c r="B14" s="8" t="inlineStr">
        <is>
          <t xml:space="preserve">Rental service, EXO, translator, daily</t>
        </is>
      </c>
      <c r="C14" s="8" t="inlineStr">
        <is>
          <t xml:space="preserve">EXO Area Monitor</t>
        </is>
      </c>
      <c r="D14" s="3">
        <v>5.0</v>
      </c>
      <c r="E14" s="13">
        <v>1</v>
      </c>
    </row>
    <row r="15">
      <c r="A15" s="8" t="inlineStr">
        <is>
          <t xml:space="preserve">RENT-EX8-GEM-01</t>
        </is>
      </c>
      <c r="B15" s="8" t="inlineStr">
        <is>
          <t xml:space="preserve">Gas Expansion Module SO2, PID (SVXX)</t>
        </is>
      </c>
      <c r="C15" s="8" t="inlineStr">
        <is>
          <t xml:space="preserve">EXO 8 Gas Expansion Modules</t>
        </is>
      </c>
      <c r="D15" s="3">
        <v>35.0</v>
      </c>
      <c r="E15" s="13">
        <v>1</v>
      </c>
    </row>
    <row r="16">
      <c r="A16" s="8" t="inlineStr">
        <is>
          <t xml:space="preserve">RENT-EX8-GEM-02</t>
        </is>
      </c>
      <c r="B16" s="8" t="inlineStr">
        <is>
          <t xml:space="preserve">Gas Expansion Module HF,NH3,SO2,PID (2ASV)</t>
        </is>
      </c>
      <c r="C16" s="8" t="inlineStr">
        <is>
          <t xml:space="preserve">EXO 8 Gas Expansion Modules</t>
        </is>
      </c>
      <c r="D16" s="3">
        <v>55.0</v>
      </c>
      <c r="E16" s="13">
        <v>1</v>
      </c>
    </row>
    <row r="17">
      <c r="A17" s="8" t="inlineStr">
        <is>
          <t xml:space="preserve">RENT-EX8-GEM-03</t>
        </is>
      </c>
      <c r="B17" s="8" t="inlineStr">
        <is>
          <t xml:space="preserve">Gas Expansion Module H2,NH3,SO2,PID (6ASV)</t>
        </is>
      </c>
      <c r="C17" s="8" t="inlineStr">
        <is>
          <t xml:space="preserve">EXO 8 Gas Expansion Modules</t>
        </is>
      </c>
      <c r="D17" s="3">
        <v>45.0</v>
      </c>
      <c r="E17" s="13">
        <v>1</v>
      </c>
    </row>
    <row r="18">
      <c r="A18" s="8" t="inlineStr">
        <is>
          <t xml:space="preserve">RENT-EX8-GEM-04</t>
        </is>
      </c>
      <c r="B18" s="8" t="inlineStr">
        <is>
          <t xml:space="preserve">Gas Expansion Module NH3,H2S,SO2 (AHSX)</t>
        </is>
      </c>
      <c r="C18" s="8" t="inlineStr">
        <is>
          <t xml:space="preserve">EXO 8 Gas Expansion Modules</t>
        </is>
      </c>
      <c r="D18" s="3">
        <v>25.0</v>
      </c>
      <c r="E18" s="13">
        <v>1</v>
      </c>
    </row>
    <row r="19">
      <c r="A19" s="8" t="inlineStr">
        <is>
          <t xml:space="preserve">RENT-EX8-GEM-11</t>
        </is>
      </c>
      <c r="B19" s="8" t="inlineStr">
        <is>
          <t xml:space="preserve">Gas Expansion Module H2,NH3,Cl2,PID (6ALV)</t>
        </is>
      </c>
      <c r="C19" s="8" t="inlineStr">
        <is>
          <t xml:space="preserve">EXO 8 Gas Expansion Modules</t>
        </is>
      </c>
      <c r="D19" s="3">
        <v>50.0</v>
      </c>
      <c r="E19" s="13">
        <v>1</v>
      </c>
    </row>
    <row r="20">
      <c r="A20" s="8" t="inlineStr">
        <is>
          <t xml:space="preserve">RENT-EX8-GEM-05</t>
        </is>
      </c>
      <c r="B20" s="8" t="inlineStr">
        <is>
          <t xml:space="preserve">Gas Expansion Module H2,Cl2,HCN,PID (6LNV)</t>
        </is>
      </c>
      <c r="C20" s="8" t="inlineStr">
        <is>
          <t xml:space="preserve">EXO 8 Gas Expansion Modules</t>
        </is>
      </c>
      <c r="D20" s="3">
        <v>50.0</v>
      </c>
      <c r="E20" s="13">
        <v>1</v>
      </c>
    </row>
    <row r="21">
      <c r="A21" s="8" t="inlineStr">
        <is>
          <t xml:space="preserve">RENT-EX8-GEM-06</t>
        </is>
      </c>
      <c r="B21" s="8" t="inlineStr">
        <is>
          <t xml:space="preserve">Gas Expansion Module NH3,Cl2,HCN,PID (ALNV)</t>
        </is>
      </c>
      <c r="C21" s="8" t="inlineStr">
        <is>
          <t xml:space="preserve">EXO 8 Gas Expansion Modules</t>
        </is>
      </c>
      <c r="D21" s="3">
        <v>50.0</v>
      </c>
      <c r="E21" s="13">
        <v>1</v>
      </c>
    </row>
    <row r="22">
      <c r="A22" s="8" t="inlineStr">
        <is>
          <t xml:space="preserve">RENT-EX8-GEM-07</t>
        </is>
      </c>
      <c r="B22" s="8" t="inlineStr">
        <is>
          <t xml:space="preserve">Gas Expansion Module HF, H2, HCN (26NX)</t>
        </is>
      </c>
      <c r="C22" s="8" t="inlineStr">
        <is>
          <t xml:space="preserve">EXO 8 Gas Expansion Modules</t>
        </is>
      </c>
      <c r="D22" s="3">
        <v>45.0</v>
      </c>
      <c r="E22" s="13">
        <v>1</v>
      </c>
    </row>
    <row r="23">
      <c r="A23" s="8" t="inlineStr">
        <is>
          <t xml:space="preserve">RENT-EX8-GEM-12</t>
        </is>
      </c>
      <c r="B23" s="8" t="inlineStr">
        <is>
          <t xml:space="preserve">Gas Expansion Module HF,NH3,Cl2,PID (2ALV)</t>
        </is>
      </c>
      <c r="C23" s="8" t="inlineStr">
        <is>
          <t xml:space="preserve">EXO 8 Gas Expansion Modules</t>
        </is>
      </c>
      <c r="D23" s="3">
        <v>60.0</v>
      </c>
      <c r="E23" s="13">
        <v>1</v>
      </c>
    </row>
    <row r="24">
      <c r="A24" s="8" t="inlineStr">
        <is>
          <t xml:space="preserve">RENT-EX8-GEM-09</t>
        </is>
      </c>
      <c r="B24" s="8" t="inlineStr">
        <is>
          <t xml:space="preserve">Gas Expansion Module NH3,H2S,Cl2,PID (AHLV)</t>
        </is>
      </c>
      <c r="C24" s="8" t="inlineStr">
        <is>
          <t xml:space="preserve">EXO 8 Gas Expansion Modules</t>
        </is>
      </c>
      <c r="D24" s="3">
        <v>45.0</v>
      </c>
      <c r="E24" s="13">
        <v>1</v>
      </c>
    </row>
    <row r="25">
      <c r="A25" s="8" t="inlineStr">
        <is>
          <t xml:space="preserve">RENT-EX8-GEM-08</t>
        </is>
      </c>
      <c r="B25" s="8" t="inlineStr">
        <is>
          <t xml:space="preserve">Gas Expansion Module O3,H2,Cl2,SO2 (EHLS)</t>
        </is>
      </c>
      <c r="C25" s="8" t="inlineStr">
        <is>
          <t xml:space="preserve">EXO 8 Gas Expansion Modules</t>
        </is>
      </c>
      <c r="D25" s="3">
        <v>35.0</v>
      </c>
      <c r="E25" s="13">
        <v>1</v>
      </c>
    </row>
    <row r="26">
      <c r="A26" s="8" t="inlineStr">
        <is>
          <t xml:space="preserve">Premium Sensors - Daily</t>
        </is>
      </c>
      <c r="B26" s="8" t="inlineStr">
        <is>
          <t xml:space="preserve">NH3, high range NH3, NO2, O3, high range H2S or CO, COSH, Cl2, ClO2, CO-H, HCN, H2</t>
        </is>
      </c>
      <c r="C26" s="8" t="inlineStr">
        <is>
          <t xml:space="preserve">Sensor Upgrades &amp; Cartridges</t>
        </is>
      </c>
      <c r="D26" s="3">
        <v>4.0</v>
      </c>
      <c r="E26" s="13">
        <v>1</v>
      </c>
    </row>
    <row r="27">
      <c r="A27" s="8" t="inlineStr">
        <is>
          <t xml:space="preserve">Advanced Sensor - Daily</t>
        </is>
      </c>
      <c r="B27" s="8" t="inlineStr">
        <is>
          <t xml:space="preserve">CO2</t>
        </is>
      </c>
      <c r="C27" s="8" t="inlineStr">
        <is>
          <t xml:space="preserve">Sensor Upgrades &amp; Cartridges</t>
        </is>
      </c>
      <c r="D27" s="3">
        <v>10.0</v>
      </c>
      <c r="E27" s="13">
        <v>1</v>
      </c>
    </row>
    <row r="28">
      <c r="A28" s="8" t="inlineStr">
        <is>
          <t xml:space="preserve">VOC/HF Sensor - Daily</t>
        </is>
      </c>
      <c r="B28" s="8" t="inlineStr">
        <is>
          <t xml:space="preserve">PID, HF</t>
        </is>
      </c>
      <c r="C28" s="8" t="inlineStr">
        <is>
          <t xml:space="preserve">Sensor Upgrades &amp; Cartridges</t>
        </is>
      </c>
      <c r="D28" s="3">
        <v>15.0</v>
      </c>
      <c r="E28" s="13">
        <v>1</v>
      </c>
    </row>
    <row r="29">
      <c r="A29" s="8" t="inlineStr">
        <is>
          <t xml:space="preserve">RENT-CART-Q-XXXX</t>
        </is>
      </c>
      <c r="B29" s="8" t="inlineStr">
        <is>
          <t xml:space="preserve">Rental service, diffusion cartridge, std. sensors, daily rate</t>
        </is>
      </c>
      <c r="C29" s="8" t="inlineStr">
        <is>
          <t xml:space="preserve">Sensor Upgrades &amp; Cartridges</t>
        </is>
      </c>
      <c r="D29" s="3">
        <v>6.0</v>
      </c>
      <c r="E29" s="13">
        <v>1</v>
      </c>
    </row>
    <row r="30">
      <c r="A30" s="8" t="inlineStr">
        <is>
          <t xml:space="preserve">RENT-CART-P-XXXX</t>
        </is>
      </c>
      <c r="B30" s="8" t="inlineStr">
        <is>
          <t xml:space="preserve">Rental service, pumped cartridge, std. sensors, daily rate</t>
        </is>
      </c>
      <c r="C30" s="8" t="inlineStr">
        <is>
          <t xml:space="preserve">Sensor Upgrades &amp; Cartridges</t>
        </is>
      </c>
      <c r="D30" s="3">
        <v>10.0</v>
      </c>
      <c r="E30" s="13">
        <v>1</v>
      </c>
    </row>
    <row r="31">
      <c r="A31" s="8" t="inlineStr">
        <is>
          <t xml:space="preserve">RENT-BEACON</t>
        </is>
      </c>
      <c r="B31" s="8" t="inlineStr">
        <is>
          <t xml:space="preserve">Rental service, beacon, daily rate</t>
        </is>
      </c>
      <c r="C31" s="8" t="inlineStr">
        <is>
          <t xml:space="preserve">G7 Accessories</t>
        </is>
      </c>
      <c r="D31" s="3">
        <v>3.0</v>
      </c>
      <c r="E31" s="13">
        <v>1</v>
      </c>
    </row>
    <row r="32">
      <c r="A32" s="8" t="inlineStr">
        <is>
          <t xml:space="preserve">RENT-ACC-G7-PWRPAC-NA</t>
        </is>
      </c>
      <c r="B32" s="8" t="inlineStr">
        <is>
          <t xml:space="preserve">Rental service, G7 powerpack, daily rate</t>
        </is>
      </c>
      <c r="C32" s="8" t="inlineStr">
        <is>
          <t xml:space="preserve">G7 Accessories</t>
        </is>
      </c>
      <c r="D32" s="3">
        <v>2.5</v>
      </c>
      <c r="E32" s="13">
        <v>1</v>
      </c>
    </row>
    <row r="33">
      <c r="A33" s="8" t="inlineStr">
        <is>
          <t xml:space="preserve">RENT-ACC-CHG-PNL-5-NA</t>
        </is>
      </c>
      <c r="B33" s="8" t="inlineStr">
        <is>
          <t xml:space="preserve">Rental service, 5-bay charger, daily rate</t>
        </is>
      </c>
      <c r="C33" s="8" t="inlineStr">
        <is>
          <t xml:space="preserve">G7 Accessories</t>
        </is>
      </c>
      <c r="D33" s="3">
        <v>4.0</v>
      </c>
      <c r="E33" s="13">
        <v>1</v>
      </c>
    </row>
    <row r="34">
      <c r="A34" s="8" t="inlineStr">
        <is>
          <t xml:space="preserve">RENT-ACC-CHG-PNL-20-NA</t>
        </is>
      </c>
      <c r="B34" s="8" t="inlineStr">
        <is>
          <t xml:space="preserve">Rental service, 20-bay charger, daily rate</t>
        </is>
      </c>
      <c r="C34" s="8" t="inlineStr">
        <is>
          <t xml:space="preserve">G7 Accessories</t>
        </is>
      </c>
      <c r="D34" s="3">
        <v>10.0</v>
      </c>
      <c r="E34" s="13">
        <v>1</v>
      </c>
    </row>
    <row r="35">
      <c r="A35" s="8" t="inlineStr">
        <is>
          <t xml:space="preserve">RENT-ACC-DOCK-STN-5-LOADED</t>
        </is>
      </c>
      <c r="B35" s="8" t="inlineStr">
        <is>
          <t xml:space="preserve">Rental service, wall mount, 5-bay dock, loaded</t>
        </is>
      </c>
      <c r="C35" s="8" t="inlineStr">
        <is>
          <t xml:space="preserve">G7 Accessories</t>
        </is>
      </c>
      <c r="D35" s="3">
        <v>65.0</v>
      </c>
      <c r="E35" s="13">
        <v>1</v>
      </c>
    </row>
    <row r="36">
      <c r="A36" s="8" t="inlineStr">
        <is>
          <t xml:space="preserve">RENT-DOCK-NA</t>
        </is>
      </c>
      <c r="B36" s="8" t="inlineStr">
        <is>
          <t xml:space="preserve">Rental service, G7 dock, daily rate</t>
        </is>
      </c>
      <c r="C36" s="8" t="inlineStr">
        <is>
          <t xml:space="preserve">G7 Accessories</t>
        </is>
      </c>
      <c r="D36" s="3">
        <v>16.0</v>
      </c>
      <c r="E36" s="13">
        <v>1</v>
      </c>
    </row>
    <row r="37">
      <c r="A37" s="8" t="inlineStr">
        <is>
          <t xml:space="preserve">RENT-DOCK-NA-W-DF</t>
        </is>
      </c>
      <c r="B37" s="8" t="inlineStr">
        <is>
          <t xml:space="preserve">Rental service, G7 dock and regulator, daily rate</t>
        </is>
      </c>
      <c r="C37" s="8" t="inlineStr">
        <is>
          <t xml:space="preserve">G7 Accessories</t>
        </is>
      </c>
      <c r="D37" s="3">
        <v>22.0</v>
      </c>
      <c r="E37" s="13">
        <v>1</v>
      </c>
    </row>
    <row r="38">
      <c r="A38" s="8" t="inlineStr">
        <is>
          <t xml:space="preserve">RENT-ACC-DFR-V</t>
        </is>
      </c>
      <c r="B38" s="8" t="inlineStr">
        <is>
          <t xml:space="preserve">Rental service, demand flow regulator also suitable for sticky gases</t>
        </is>
      </c>
      <c r="C38" s="8" t="inlineStr">
        <is>
          <t xml:space="preserve">G7 Accessories</t>
        </is>
      </c>
      <c r="D38" s="3">
        <v>6.0</v>
      </c>
      <c r="E38" s="13">
        <v>1</v>
      </c>
    </row>
    <row r="39">
      <c r="A39" s="8" t="inlineStr">
        <is>
          <t xml:space="preserve">RENT-ACC-REG</t>
        </is>
      </c>
      <c r="B39" s="8" t="inlineStr">
        <is>
          <t xml:space="preserve">Rental service, fixed flow regulator</t>
        </is>
      </c>
      <c r="C39" s="8" t="inlineStr">
        <is>
          <t xml:space="preserve">G7 Accessories</t>
        </is>
      </c>
      <c r="D39" s="3">
        <v>3.0</v>
      </c>
      <c r="E39" s="13">
        <v>1</v>
      </c>
    </row>
    <row r="40">
      <c r="A40" s="8" t="inlineStr">
        <is>
          <t xml:space="preserve">RENT-ACC-REG-1L</t>
        </is>
      </c>
      <c r="B40" s="8" t="inlineStr">
        <is>
          <t xml:space="preserve">Rental service, fixed flow regulator for sticky gases</t>
        </is>
      </c>
      <c r="C40" s="8" t="inlineStr">
        <is>
          <t xml:space="preserve">G7 Accessories</t>
        </is>
      </c>
      <c r="D40" s="3">
        <v>6.0</v>
      </c>
      <c r="E40" s="13">
        <v>1</v>
      </c>
    </row>
    <row r="41">
      <c r="A41" s="8" t="inlineStr">
        <is>
          <t xml:space="preserve">RENT-ACC-PROBE-12</t>
        </is>
      </c>
      <c r="B41" s="8" t="inlineStr">
        <is>
          <t xml:space="preserve">Rental service, handheld sample wand, 12", with filters</t>
        </is>
      </c>
      <c r="C41" s="8" t="inlineStr">
        <is>
          <t xml:space="preserve">G7 Accessories</t>
        </is>
      </c>
      <c r="D41" s="3">
        <v>2.0</v>
      </c>
      <c r="E41" s="13">
        <v>1</v>
      </c>
    </row>
    <row r="42">
      <c r="A42" s="8" t="inlineStr">
        <is>
          <t xml:space="preserve">RENT-ACC-G7EXO-UMK</t>
        </is>
      </c>
      <c r="B42" s="8" t="inlineStr">
        <is>
          <t xml:space="preserve">Rental service, EXO, universal mount, daily rate</t>
        </is>
      </c>
      <c r="C42" s="8" t="inlineStr">
        <is>
          <t xml:space="preserve">EXO Accessories</t>
        </is>
      </c>
      <c r="D42" s="3">
        <v>6.0</v>
      </c>
      <c r="E42" s="13">
        <v>1</v>
      </c>
    </row>
    <row r="43">
      <c r="A43" s="8" t="inlineStr">
        <is>
          <t xml:space="preserve">RENT-ACC-G7EXO-UMK-GAS</t>
        </is>
      </c>
      <c r="B43" s="8" t="inlineStr">
        <is>
          <t xml:space="preserve">Rental service, UMK gas cylinder bracket</t>
        </is>
      </c>
      <c r="C43" s="8" t="inlineStr">
        <is>
          <t xml:space="preserve">EXO Accessories</t>
        </is>
      </c>
      <c r="D43" s="3">
        <v>2.0</v>
      </c>
      <c r="E43" s="13">
        <v>1</v>
      </c>
    </row>
    <row r="44">
      <c r="A44" s="8" t="inlineStr">
        <is>
          <t xml:space="preserve">RENT-AUTOBUMP-KIT</t>
        </is>
      </c>
      <c r="B44" s="8" t="inlineStr">
        <is>
          <t xml:space="preserve">Rental service, auto bump and calibration kit (complete bundle)</t>
        </is>
      </c>
      <c r="C44" s="8" t="inlineStr">
        <is>
          <t xml:space="preserve">EXO Accessories</t>
        </is>
      </c>
      <c r="D44" s="3">
        <v>30.0</v>
      </c>
      <c r="E44" s="13">
        <v>1</v>
      </c>
    </row>
    <row r="45">
      <c r="A45" s="8" t="inlineStr">
        <is>
          <t xml:space="preserve">RENT-ACC-G7EXO-HMK</t>
        </is>
      </c>
      <c r="B45" s="8" t="inlineStr">
        <is>
          <t xml:space="preserve">Rental service, EXO, hanging mount, daily rate</t>
        </is>
      </c>
      <c r="C45" s="8" t="inlineStr">
        <is>
          <t xml:space="preserve">EXO Accessories</t>
        </is>
      </c>
      <c r="D45" s="3">
        <v>3.0</v>
      </c>
      <c r="E45" s="13">
        <v>1</v>
      </c>
    </row>
    <row r="46">
      <c r="A46" s="8" t="inlineStr">
        <is>
          <t xml:space="preserve">RENT-ACC-G7EXO-UMK-SOLAR-KIT</t>
        </is>
      </c>
      <c r="B46" s="8" t="inlineStr">
        <is>
          <t xml:space="preserve">Rental service, EXO, solar panel kit, daily rate</t>
        </is>
      </c>
      <c r="C46" s="8" t="inlineStr">
        <is>
          <t xml:space="preserve">EXO Accessories</t>
        </is>
      </c>
      <c r="D46" s="3">
        <v>18.0</v>
      </c>
      <c r="E46" s="13">
        <v>1</v>
      </c>
    </row>
    <row r="47">
      <c r="A47" s="8" t="inlineStr">
        <is>
          <t xml:space="preserve">SER-RENT-ACC-G7EXO-UMK-SIREN-KIT-1D</t>
        </is>
      </c>
      <c r="B47" s="8" t="inlineStr">
        <is>
          <t xml:space="preserve">Rental service, G7 EXO, siren kit, daily rate</t>
        </is>
      </c>
      <c r="C47" s="8" t="inlineStr">
        <is>
          <t xml:space="preserve">EXO Accessories</t>
        </is>
      </c>
      <c r="D47" s="3">
        <v>14.0</v>
      </c>
      <c r="E47" s="13">
        <v>1</v>
      </c>
    </row>
    <row r="48">
      <c r="A48" s="8" t="inlineStr">
        <is>
          <t xml:space="preserve">RENT-ACC-G7EXO-BAT</t>
        </is>
      </c>
      <c r="B48" s="8" t="inlineStr">
        <is>
          <t xml:space="preserve">Rental service, EXO, replacement battery, daily rate</t>
        </is>
      </c>
      <c r="C48" s="8" t="inlineStr">
        <is>
          <t xml:space="preserve">EXO Accessories</t>
        </is>
      </c>
      <c r="D48" s="3">
        <v>9.0</v>
      </c>
      <c r="E48" s="13">
        <v>1</v>
      </c>
    </row>
    <row r="49">
      <c r="A49" s="8" t="inlineStr">
        <is>
          <t xml:space="preserve">RENT-ACC-G7EXO-TRIPOD</t>
        </is>
      </c>
      <c r="B49" s="8" t="inlineStr">
        <is>
          <t xml:space="preserve">Rental service, EXO, survey tripod, daily rate</t>
        </is>
      </c>
      <c r="C49" s="8" t="inlineStr">
        <is>
          <t xml:space="preserve">EXO Accessories</t>
        </is>
      </c>
      <c r="D49" s="3">
        <v>8.0</v>
      </c>
      <c r="E49" s="13">
        <v>1</v>
      </c>
    </row>
    <row r="50">
      <c r="A50" s="8" t="inlineStr">
        <is>
          <t xml:space="preserve">RENT-ACC-G7EXO-STANDOFF</t>
        </is>
      </c>
      <c r="B50" s="8" t="inlineStr">
        <is>
          <t xml:space="preserve">Rental service, EXO, standoff (low tripod), daily rate</t>
        </is>
      </c>
      <c r="C50" s="8" t="inlineStr">
        <is>
          <t xml:space="preserve">EXO Accessories</t>
        </is>
      </c>
      <c r="D50" s="3">
        <v>6.0</v>
      </c>
      <c r="E50" s="13">
        <v>1</v>
      </c>
    </row>
    <row r="51">
      <c r="A51" s="8" t="inlineStr">
        <is>
          <t xml:space="preserve">RENT-ACC-G7EXO-SC</t>
        </is>
      </c>
      <c r="B51" s="8" t="inlineStr">
        <is>
          <t xml:space="preserve">Rental service, EXO, safety tether, daily rate</t>
        </is>
      </c>
      <c r="C51" s="8" t="inlineStr">
        <is>
          <t xml:space="preserve">EXO Accessories</t>
        </is>
      </c>
      <c r="D51" s="3">
        <v>1.0</v>
      </c>
      <c r="E51" s="13">
        <v>1</v>
      </c>
    </row>
    <row r="52">
      <c r="A52" s="8" t="inlineStr">
        <is>
          <t xml:space="preserve">RENT-ACC-G7EXO-CARRY</t>
        </is>
      </c>
      <c r="B52" s="8" t="inlineStr">
        <is>
          <t xml:space="preserve">Rental service, EXO, carrying case, daily rate</t>
        </is>
      </c>
      <c r="C52" s="8" t="inlineStr">
        <is>
          <t xml:space="preserve">EXO Accessories</t>
        </is>
      </c>
      <c r="D52" s="3">
        <v>8.0</v>
      </c>
      <c r="E52" s="13">
        <v>1</v>
      </c>
    </row>
    <row r="53">
      <c r="A53" s="8" t="inlineStr">
        <is>
          <t xml:space="preserve">RENT-G7EXO-FAST-CHARGER</t>
        </is>
      </c>
      <c r="B53" s="8" t="inlineStr">
        <is>
          <t xml:space="preserve">Rental service, EXO, fast charger</t>
        </is>
      </c>
      <c r="C53" s="8" t="inlineStr">
        <is>
          <t xml:space="preserve">EXO Accessories</t>
        </is>
      </c>
      <c r="D53" s="3">
        <v>6.0</v>
      </c>
      <c r="E53" s="13">
        <v>1</v>
      </c>
    </row>
    <row r="54">
      <c r="A54" s="8" t="inlineStr">
        <is>
          <t xml:space="preserve">RENT-G6-H</t>
        </is>
      </c>
      <c r="B54" s="8" t="inlineStr">
        <is>
          <t xml:space="preserve">Rental service, G6, H2S</t>
        </is>
      </c>
      <c r="C54" s="8" t="inlineStr">
        <is>
          <t xml:space="preserve">G6 Single Gas &amp; Accessories</t>
        </is>
      </c>
      <c r="D54" s="3">
        <v>3.0</v>
      </c>
      <c r="E54" s="13">
        <v>1</v>
      </c>
    </row>
    <row r="55">
      <c r="A55" s="8" t="inlineStr">
        <is>
          <t xml:space="preserve">RENT-G6-M</t>
        </is>
      </c>
      <c r="B55" s="8" t="inlineStr">
        <is>
          <t xml:space="preserve">Rental service, G6, CO</t>
        </is>
      </c>
      <c r="C55" s="8" t="inlineStr">
        <is>
          <t xml:space="preserve">G6 Single Gas &amp; Accessories</t>
        </is>
      </c>
      <c r="D55" s="3">
        <v>5.0</v>
      </c>
      <c r="E55" s="13">
        <v>1</v>
      </c>
    </row>
    <row r="56">
      <c r="A56" s="8" t="inlineStr">
        <is>
          <t xml:space="preserve">RENT-G6-O</t>
        </is>
      </c>
      <c r="B56" s="8" t="inlineStr">
        <is>
          <t xml:space="preserve">Rental service, G6, O2</t>
        </is>
      </c>
      <c r="C56" s="8" t="inlineStr">
        <is>
          <t xml:space="preserve">G6 Single Gas &amp; Accessories</t>
        </is>
      </c>
      <c r="D56" s="3">
        <v>5.0</v>
      </c>
      <c r="E56" s="13">
        <v>1</v>
      </c>
    </row>
    <row r="57">
      <c r="A57" s="8" t="inlineStr">
        <is>
          <t xml:space="preserve">RENT-G6-S</t>
        </is>
      </c>
      <c r="B57" s="8" t="inlineStr">
        <is>
          <t xml:space="preserve">Rental service, G6, SO2</t>
        </is>
      </c>
      <c r="C57" s="8" t="inlineStr">
        <is>
          <t xml:space="preserve">G6 Single Gas &amp; Accessories</t>
        </is>
      </c>
      <c r="D57" s="3">
        <v>5.0</v>
      </c>
      <c r="E57" s="13">
        <v>1</v>
      </c>
    </row>
    <row r="58">
      <c r="A58" s="8" t="inlineStr">
        <is>
          <t xml:space="preserve">RENT-G6DOCK-NA</t>
        </is>
      </c>
      <c r="B58" s="8" t="inlineStr">
        <is>
          <t xml:space="preserve">Rental service, G6 dock, daily rate</t>
        </is>
      </c>
      <c r="C58" s="8" t="inlineStr">
        <is>
          <t xml:space="preserve">G6 Single Gas &amp; Accessories</t>
        </is>
      </c>
      <c r="D58" s="3">
        <v>12.0</v>
      </c>
      <c r="E58" s="13">
        <v>1</v>
      </c>
    </row>
    <row r="59">
      <c r="A59" s="8" t="inlineStr">
        <is>
          <t xml:space="preserve">RENT-G6-CHG-05-NA</t>
        </is>
      </c>
      <c r="B59" s="8" t="inlineStr">
        <is>
          <t xml:space="preserve">Rental Service, G6 Multi-Unit Charger, 5 Slots</t>
        </is>
      </c>
      <c r="C59" s="8" t="inlineStr">
        <is>
          <t xml:space="preserve">G6 Single Gas &amp; Accessories</t>
        </is>
      </c>
      <c r="D59" s="3">
        <v>4.0</v>
      </c>
      <c r="E59" s="13">
        <v>1</v>
      </c>
    </row>
    <row r="60">
      <c r="A60" s="8" t="inlineStr">
        <is>
          <t xml:space="preserve">RENT-G6-CHG-25-NA</t>
        </is>
      </c>
      <c r="B60" s="8" t="inlineStr">
        <is>
          <t xml:space="preserve">Rental Service, G6 Multi-Unit Charger, 25 Slots</t>
        </is>
      </c>
      <c r="C60" s="8" t="inlineStr">
        <is>
          <t xml:space="preserve">G6 Single Gas &amp; Accessories</t>
        </is>
      </c>
      <c r="D60" s="3">
        <v>10.5</v>
      </c>
      <c r="E60" s="13">
        <v>1</v>
      </c>
    </row>
    <row r="61">
      <c r="A61" s="8" t="inlineStr">
        <is>
          <t xml:space="preserve">RENT-ACC-G6-CALTUB</t>
        </is>
      </c>
      <c r="B61" s="8" t="inlineStr">
        <is>
          <t xml:space="preserve">Rental service, G6 calibration kit - tubing, cal cap</t>
        </is>
      </c>
      <c r="C61" s="8" t="inlineStr">
        <is>
          <t xml:space="preserve">G6 Single Gas &amp; Accessories</t>
        </is>
      </c>
      <c r="D61" s="3">
        <v>2.0</v>
      </c>
      <c r="E61" s="13">
        <v>1</v>
      </c>
    </row>
    <row r="62">
      <c r="A62" s="8" t="inlineStr">
        <is>
          <t xml:space="preserve">RENT-ACC-G6-POWER-NA</t>
        </is>
      </c>
      <c r="B62" s="8" t="inlineStr">
        <is>
          <t xml:space="preserve">Rental service, G6 charge clip, block, and cable</t>
        </is>
      </c>
      <c r="C62" s="8" t="inlineStr">
        <is>
          <t xml:space="preserve">G6 Single Gas &amp; Accessories</t>
        </is>
      </c>
      <c r="D62" s="3">
        <v>3.0</v>
      </c>
      <c r="E62" s="13">
        <v>1</v>
      </c>
    </row>
    <row r="63">
      <c r="A63" s="8" t="inlineStr">
        <is>
          <t xml:space="preserve">RENT-SCHEDULE-5M</t>
        </is>
      </c>
      <c r="B63" s="8" t="inlineStr">
        <is>
          <t xml:space="preserve">Custom update schedule, 5 minute frequency, daily rate</t>
        </is>
      </c>
      <c r="C63" s="8" t="inlineStr">
        <is>
          <t xml:space="preserve">Additional Services</t>
        </is>
      </c>
      <c r="D63" s="3">
        <v>1.0</v>
      </c>
      <c r="E63" s="13">
        <v>1</v>
      </c>
    </row>
    <row r="64">
      <c r="A64" s="8" t="inlineStr">
        <is>
          <t xml:space="preserve">RENT-SCHEDULE-1M</t>
        </is>
      </c>
      <c r="B64" s="8" t="inlineStr">
        <is>
          <t xml:space="preserve">Custom update schedule, 1 minute frequency, daily rate</t>
        </is>
      </c>
      <c r="C64" s="8" t="inlineStr">
        <is>
          <t xml:space="preserve">Additional Services</t>
        </is>
      </c>
      <c r="D64" s="3">
        <v>2.0</v>
      </c>
      <c r="E64" s="13">
        <v>1</v>
      </c>
    </row>
    <row r="65">
      <c r="A65" s="8" t="inlineStr">
        <is>
          <t xml:space="preserve">RENT-SCHEDULE-30S</t>
        </is>
      </c>
      <c r="B65" s="8" t="inlineStr">
        <is>
          <t xml:space="preserve">Custom update schedule, 30 second frequency, daily rate</t>
        </is>
      </c>
      <c r="C65" s="8" t="inlineStr">
        <is>
          <t xml:space="preserve">Additional Services</t>
        </is>
      </c>
      <c r="D65" s="3">
        <v>3.0</v>
      </c>
      <c r="E65" s="13">
        <v>1</v>
      </c>
    </row>
    <row r="66">
      <c r="A66" s="8" t="inlineStr">
        <is>
          <t xml:space="preserve">RENT-SCHEDULE-10S</t>
        </is>
      </c>
      <c r="B66" s="8" t="inlineStr">
        <is>
          <t xml:space="preserve">Custom update schedule, 10 second frequency, daily rate</t>
        </is>
      </c>
      <c r="C66" s="8" t="inlineStr">
        <is>
          <t xml:space="preserve">Additional Services</t>
        </is>
      </c>
      <c r="D66" s="3">
        <v>4.0</v>
      </c>
      <c r="E66" s="13">
        <v>1</v>
      </c>
    </row>
    <row r="67">
      <c r="A67" s="8" t="inlineStr">
        <is>
          <t xml:space="preserve">RENT-SCHEDULE-5S</t>
        </is>
      </c>
      <c r="B67" s="8" t="inlineStr">
        <is>
          <t xml:space="preserve">Custom update schedule, 5 second frequency, daily rate</t>
        </is>
      </c>
      <c r="C67" s="8" t="inlineStr">
        <is>
          <t xml:space="preserve">Additional Services</t>
        </is>
      </c>
      <c r="D67" s="3">
        <v>5.0</v>
      </c>
      <c r="E67" s="13">
        <v>1</v>
      </c>
    </row>
    <row r="68">
      <c r="A68" s="8" t="inlineStr">
        <is>
          <t xml:space="preserve">RENT-CALLOUT-SURCHARGE</t>
        </is>
      </c>
      <c r="B68" s="8" t="inlineStr">
        <is>
          <t xml:space="preserve">Emergency order surcharge - call-out between 10 PM and 6 AM</t>
        </is>
      </c>
      <c r="C68" s="8" t="inlineStr">
        <is>
          <t xml:space="preserve">Additional Services</t>
        </is>
      </c>
      <c r="D68" s="3">
        <v>400.0</v>
      </c>
      <c r="E68" s="13">
        <v>0</v>
      </c>
    </row>
    <row r="69">
      <c r="A69" s="8" t="inlineStr">
        <is>
          <t xml:space="preserve">RENT-TECH-HOUR-ST</t>
        </is>
      </c>
      <c r="B69" s="8" t="inlineStr">
        <is>
          <t xml:space="preserve">Technician time, hourly, (cancellation, excess cleaning, etc.)</t>
        </is>
      </c>
      <c r="C69" s="8" t="inlineStr">
        <is>
          <t xml:space="preserve">Additional Services</t>
        </is>
      </c>
      <c r="D69" s="3">
        <v>65.0</v>
      </c>
      <c r="E69" s="13">
        <v>0</v>
      </c>
    </row>
    <row r="70">
      <c r="A70" s="8" t="inlineStr">
        <is>
          <t xml:space="preserve">RENT-TECH-HOUR-OT</t>
        </is>
      </c>
      <c r="B70" s="8" t="inlineStr">
        <is>
          <t xml:space="preserve">Technician time, hourly, OT (callout)</t>
        </is>
      </c>
      <c r="C70" s="8" t="inlineStr">
        <is>
          <t xml:space="preserve">Additional Services</t>
        </is>
      </c>
      <c r="D70" s="3">
        <v>97.5</v>
      </c>
      <c r="E70" s="13">
        <v>0</v>
      </c>
    </row>
    <row r="71">
      <c r="A71" s="8" t="inlineStr">
        <is>
          <t xml:space="preserve">RENTAL-ONE-TIME</t>
        </is>
      </c>
      <c r="B71" s="8" t="inlineStr">
        <is>
          <t xml:space="preserve">One time charge - as needed</t>
        </is>
      </c>
      <c r="C71" s="8" t="inlineStr">
        <is>
          <t xml:space="preserve">Additional Services</t>
        </is>
      </c>
      <c r="D71" s="3">
        <v>1.0</v>
      </c>
      <c r="E71" s="13">
        <v>0</v>
      </c>
    </row>
    <row r="72">
      <c r="A72" s="8" t="inlineStr">
        <is>
          <t xml:space="preserve">SER-RENTAL</t>
        </is>
      </c>
      <c r="B72" s="8" t="inlineStr">
        <is>
          <t xml:space="preserve">Distributor owned device move fee - up to 50 units</t>
        </is>
      </c>
      <c r="C72" s="8" t="inlineStr">
        <is>
          <t xml:space="preserve">Additional Services</t>
        </is>
      </c>
      <c r="D72" s="3">
        <v>80.0</v>
      </c>
      <c r="E72" s="13">
        <v>0</v>
      </c>
    </row>
    <row r="73">
      <c r="A73" s="8" t="inlineStr">
        <is>
          <t xml:space="preserve">SER-RENTAL</t>
        </is>
      </c>
      <c r="B73" s="8" t="inlineStr">
        <is>
          <t xml:space="preserve">Distributor owned device move fee - surcharge for units over 50</t>
        </is>
      </c>
      <c r="C73" s="8" t="inlineStr">
        <is>
          <t xml:space="preserve">Additional Services</t>
        </is>
      </c>
      <c r="D73" s="3">
        <v>75.0</v>
      </c>
      <c r="E73" s="13">
        <v>0</v>
      </c>
    </row>
    <row r="74">
      <c r="A74" s="8" t="inlineStr">
        <is>
          <t xml:space="preserve">SER-RENTAL</t>
        </is>
      </c>
      <c r="B74" s="8" t="inlineStr">
        <is>
          <t xml:space="preserve">Distributor owned device move fee - per-unit charge over 51</t>
        </is>
      </c>
      <c r="C74" s="8" t="inlineStr">
        <is>
          <t xml:space="preserve">Additional Services</t>
        </is>
      </c>
      <c r="D74" s="3">
        <v>1.5</v>
      </c>
      <c r="E74" s="13">
        <v>0</v>
      </c>
    </row>
    <row r="75">
      <c r="A75" s="8" t="inlineStr">
        <is>
          <t xml:space="preserve">RENT-TRAIN</t>
        </is>
      </c>
      <c r="B75" s="8" t="inlineStr">
        <is>
          <t xml:space="preserve">Training, Daily, at Blackline Facility</t>
        </is>
      </c>
      <c r="C75" s="8" t="inlineStr">
        <is>
          <t xml:space="preserve">Additional Services</t>
        </is>
      </c>
      <c r="D75" s="3">
        <v>1250.0</v>
      </c>
      <c r="E75" s="13">
        <v>1</v>
      </c>
    </row>
    <row r="76">
      <c r="A76" s="8" t="inlineStr">
        <is>
          <t xml:space="preserve">RENT-TRAVEL-1D</t>
        </is>
      </c>
      <c r="B76" s="8" t="inlineStr">
        <is>
          <t xml:space="preserve">Training, 1 day, at customer facility</t>
        </is>
      </c>
      <c r="C76" s="8" t="inlineStr">
        <is>
          <t xml:space="preserve">Additional Services</t>
        </is>
      </c>
      <c r="D76" s="3">
        <v>3500.0</v>
      </c>
      <c r="E76" s="13">
        <v>1</v>
      </c>
    </row>
    <row r="77">
      <c r="A77" s="8" t="inlineStr">
        <is>
          <t xml:space="preserve">RENT-TRAVEL-2D</t>
        </is>
      </c>
      <c r="B77" s="8" t="inlineStr">
        <is>
          <t xml:space="preserve">Training, 2 days, at customer facility</t>
        </is>
      </c>
      <c r="C77" s="8" t="inlineStr">
        <is>
          <t xml:space="preserve">Additional Services</t>
        </is>
      </c>
      <c r="D77" s="3">
        <v>4500.0</v>
      </c>
      <c r="E77" s="13">
        <v>1</v>
      </c>
    </row>
    <row r="78">
      <c r="A78" s="8" t="inlineStr">
        <is>
          <t xml:space="preserve">RENT-TRAVEL-3D</t>
        </is>
      </c>
      <c r="B78" s="8" t="inlineStr">
        <is>
          <t xml:space="preserve">Training, 3 days, at customer facility</t>
        </is>
      </c>
      <c r="C78" s="8" t="inlineStr">
        <is>
          <t xml:space="preserve">Additional Services</t>
        </is>
      </c>
      <c r="D78" s="3">
        <v>5500.0</v>
      </c>
      <c r="E78" s="13">
        <v>1</v>
      </c>
    </row>
    <row r="79">
      <c r="A79" s="8" t="inlineStr">
        <is>
          <t xml:space="preserve">RENT-TRAVEL-4D</t>
        </is>
      </c>
      <c r="B79" s="8" t="inlineStr">
        <is>
          <t xml:space="preserve">Training, 4 days, at customer facility</t>
        </is>
      </c>
      <c r="C79" s="8" t="inlineStr">
        <is>
          <t xml:space="preserve">Additional Services</t>
        </is>
      </c>
      <c r="D79" s="3">
        <v>6000.0</v>
      </c>
      <c r="E79" s="13">
        <v>1</v>
      </c>
    </row>
    <row r="80">
      <c r="A80" s="8" t="inlineStr">
        <is>
          <t xml:space="preserve">RENT-TRAVEL-5D</t>
        </is>
      </c>
      <c r="B80" s="8" t="inlineStr">
        <is>
          <t xml:space="preserve">Training, 5 days, at customer facility</t>
        </is>
      </c>
      <c r="C80" s="8" t="inlineStr">
        <is>
          <t xml:space="preserve">Additional Services</t>
        </is>
      </c>
      <c r="D80" s="3">
        <v>6500.0</v>
      </c>
      <c r="E80" s="13">
        <v>1</v>
      </c>
    </row>
    <row r="81">
      <c r="A81" s="8" t="inlineStr">
        <is>
          <t xml:space="preserve">RENT-AUTOBUMP</t>
        </is>
      </c>
      <c r="B81" s="8" t="inlineStr">
        <is>
          <t xml:space="preserve">Rental Service, Auto bump &amp; calibration, daily rate</t>
        </is>
      </c>
      <c r="C81" s="8" t="inlineStr">
        <is>
          <t xml:space="preserve">Additional Services</t>
        </is>
      </c>
      <c r="D81" s="3">
        <v>3.0</v>
      </c>
      <c r="E81" s="13">
        <v>1</v>
      </c>
    </row>
    <row r="82">
      <c r="A82" s="8" t="inlineStr">
        <is>
          <t xml:space="preserve">RENT-ALERTLINK</t>
        </is>
      </c>
      <c r="B82" s="8" t="inlineStr">
        <is>
          <t xml:space="preserve">Rental Service, AlertLink, daily rate</t>
        </is>
      </c>
      <c r="C82" s="8" t="inlineStr">
        <is>
          <t xml:space="preserve">Additional Services</t>
        </is>
      </c>
      <c r="D82" s="3">
        <v>1.0</v>
      </c>
      <c r="E82" s="13">
        <v>1</v>
      </c>
    </row>
    <row r="83">
      <c r="A83" s="8" t="inlineStr">
        <is>
          <t xml:space="preserve">RENT-BV</t>
        </is>
      </c>
      <c r="B83" s="8" t="inlineStr">
        <is>
          <t xml:space="preserve">Rental Service, Blackline 24/7 live monitoring, daily rate</t>
        </is>
      </c>
      <c r="C83" s="8" t="inlineStr">
        <is>
          <t xml:space="preserve">Additional Services</t>
        </is>
      </c>
      <c r="D83" s="3">
        <v>5.0</v>
      </c>
      <c r="E83" s="13">
        <v>1</v>
      </c>
    </row>
    <row r="84">
      <c r="A84" s="8" t="inlineStr">
        <is>
          <t xml:space="preserve">RENT-ACC-INLET-FILTER</t>
        </is>
      </c>
      <c r="B84" s="8" t="inlineStr">
        <is>
          <t xml:space="preserve">PTFE inlet filter</t>
        </is>
      </c>
      <c r="C84" s="8" t="inlineStr">
        <is>
          <t xml:space="preserve">Consumables</t>
        </is>
      </c>
      <c r="D84" s="3">
        <v>25.0</v>
      </c>
      <c r="E84" s="13">
        <v>1</v>
      </c>
    </row>
    <row r="85">
      <c r="A85" s="8" t="inlineStr">
        <is>
          <t xml:space="preserve">RENT-ACC-PUMP-STONE5</t>
        </is>
      </c>
      <c r="B85" s="8" t="inlineStr">
        <is>
          <t xml:space="preserve">Sintered metal pump stone, bag of 5</t>
        </is>
      </c>
      <c r="C85" s="8" t="inlineStr">
        <is>
          <t xml:space="preserve">Consumables</t>
        </is>
      </c>
      <c r="D85" s="3">
        <v>100.0</v>
      </c>
      <c r="E85" s="13">
        <v>1</v>
      </c>
    </row>
    <row r="86">
      <c r="A86" s="8" t="inlineStr">
        <is>
          <t xml:space="preserve">RENT-ACC-PUMP-STONE1</t>
        </is>
      </c>
      <c r="B86" s="8" t="inlineStr">
        <is>
          <t xml:space="preserve">Sintered metal pump stone</t>
        </is>
      </c>
      <c r="C86" s="8" t="inlineStr">
        <is>
          <t xml:space="preserve">Consumables</t>
        </is>
      </c>
      <c r="D86" s="3">
        <v>21.0</v>
      </c>
      <c r="E86" s="13">
        <v>1</v>
      </c>
    </row>
    <row r="87">
      <c r="A87" s="8" t="inlineStr">
        <is>
          <t xml:space="preserve">RENT-ACC-PROBE-12-PTFE-FILT</t>
        </is>
      </c>
      <c r="B87" s="8" t="inlineStr">
        <is>
          <t xml:space="preserve">Whatman PTFE hydrophobic filter for 12" sample wand</t>
        </is>
      </c>
      <c r="C87" s="8" t="inlineStr">
        <is>
          <t xml:space="preserve">Consumables</t>
        </is>
      </c>
      <c r="D87" s="3">
        <v>14.5</v>
      </c>
      <c r="E87" s="13">
        <v>1</v>
      </c>
    </row>
    <row r="88">
      <c r="A88" s="8" t="inlineStr">
        <is>
          <t xml:space="preserve">RENT-ACC-PROBE-12-POREX-FILT</t>
        </is>
      </c>
      <c r="B88" s="8" t="inlineStr">
        <is>
          <t xml:space="preserve">Porex particulate filter for 12" sample wand</t>
        </is>
      </c>
      <c r="C88" s="8" t="inlineStr">
        <is>
          <t xml:space="preserve">Consumables</t>
        </is>
      </c>
      <c r="D88" s="3">
        <v>8.5</v>
      </c>
      <c r="E88" s="13">
        <v>1</v>
      </c>
    </row>
    <row r="89">
      <c r="A89" s="8" t="inlineStr">
        <is>
          <t xml:space="preserve">RENT-ACC-PROBE-12-TUBE</t>
        </is>
      </c>
      <c r="B89" s="8" t="inlineStr">
        <is>
          <t xml:space="preserve">Lexan tube for 12" sample wand</t>
        </is>
      </c>
      <c r="C89" s="8" t="inlineStr">
        <is>
          <t xml:space="preserve">Consumables</t>
        </is>
      </c>
      <c r="D89" s="3">
        <v>9.25</v>
      </c>
      <c r="E89" s="13">
        <v>1</v>
      </c>
    </row>
    <row r="90">
      <c r="A90" s="8" t="inlineStr">
        <is>
          <t xml:space="preserve">RENT-ACC-PROBE-12-ORING</t>
        </is>
      </c>
      <c r="B90" s="8" t="inlineStr">
        <is>
          <t xml:space="preserve">Replacement o-ring for 12" sample wand</t>
        </is>
      </c>
      <c r="C90" s="8" t="inlineStr">
        <is>
          <t xml:space="preserve">Consumables</t>
        </is>
      </c>
      <c r="D90" s="3">
        <v>3.5</v>
      </c>
      <c r="E90" s="13">
        <v>1</v>
      </c>
    </row>
    <row r="91">
      <c r="A91" s="8" t="inlineStr">
        <is>
          <t xml:space="preserve">RENT-ACC-PROBE-12-GASKET</t>
        </is>
      </c>
      <c r="B91" s="8" t="inlineStr">
        <is>
          <t xml:space="preserve">Replacement gasket for 12" sample wand</t>
        </is>
      </c>
      <c r="C91" s="8" t="inlineStr">
        <is>
          <t xml:space="preserve">Consumables</t>
        </is>
      </c>
      <c r="D91" s="3">
        <v>1.75</v>
      </c>
      <c r="E91" s="13">
        <v>1</v>
      </c>
    </row>
    <row r="92">
      <c r="A92" s="8" t="inlineStr">
        <is>
          <t xml:space="preserve">RENT-ACC-T2</t>
        </is>
      </c>
      <c r="B92" s="8" t="inlineStr">
        <is>
          <t xml:space="preserve">Tubing 2' tygon</t>
        </is>
      </c>
      <c r="C92" s="8" t="inlineStr">
        <is>
          <t xml:space="preserve">Consumables</t>
        </is>
      </c>
      <c r="D92" s="3">
        <v>25.0</v>
      </c>
      <c r="E92" s="13">
        <v>1</v>
      </c>
    </row>
    <row r="93">
      <c r="A93" s="8" t="inlineStr">
        <is>
          <t xml:space="preserve">RENT-ACC-FEP-T2</t>
        </is>
      </c>
      <c r="B93" s="8" t="inlineStr">
        <is>
          <t xml:space="preserve">Tubing 2' teflon</t>
        </is>
      </c>
      <c r="C93" s="8" t="inlineStr">
        <is>
          <t xml:space="preserve">Consumables</t>
        </is>
      </c>
      <c r="D93" s="3">
        <v>44.0</v>
      </c>
      <c r="E93" s="13">
        <v>1</v>
      </c>
    </row>
    <row r="94">
      <c r="A94" s="8" t="inlineStr">
        <is>
          <t xml:space="preserve">RENT-ACC-T10</t>
        </is>
      </c>
      <c r="B94" s="8" t="inlineStr">
        <is>
          <t xml:space="preserve">Tubing 10' tygon</t>
        </is>
      </c>
      <c r="C94" s="8" t="inlineStr">
        <is>
          <t xml:space="preserve">Consumables</t>
        </is>
      </c>
      <c r="D94" s="3">
        <v>36.0</v>
      </c>
      <c r="E94" s="13">
        <v>1</v>
      </c>
    </row>
    <row r="95">
      <c r="A95" s="8" t="inlineStr">
        <is>
          <t xml:space="preserve">RENT-ACC-FEP-T10</t>
        </is>
      </c>
      <c r="B95" s="8" t="inlineStr">
        <is>
          <t xml:space="preserve">Tubing 10' teflon</t>
        </is>
      </c>
      <c r="C95" s="8" t="inlineStr">
        <is>
          <t xml:space="preserve">Consumables</t>
        </is>
      </c>
      <c r="D95" s="3">
        <v>92.0</v>
      </c>
      <c r="E95" s="13">
        <v>1</v>
      </c>
    </row>
    <row r="96">
      <c r="A96" s="8" t="inlineStr">
        <is>
          <t xml:space="preserve">RENT-ACC-T50</t>
        </is>
      </c>
      <c r="B96" s="8" t="inlineStr">
        <is>
          <t xml:space="preserve">Tubing 50' tygon</t>
        </is>
      </c>
      <c r="C96" s="8" t="inlineStr">
        <is>
          <t xml:space="preserve">Consumables</t>
        </is>
      </c>
      <c r="D96" s="3">
        <v>60.0</v>
      </c>
      <c r="E96" s="13">
        <v>1</v>
      </c>
    </row>
    <row r="97">
      <c r="A97" s="8" t="inlineStr">
        <is>
          <t xml:space="preserve">RENT-ACC-FEP-T50</t>
        </is>
      </c>
      <c r="B97" s="8" t="inlineStr">
        <is>
          <t xml:space="preserve">Tubing 50' teflon</t>
        </is>
      </c>
      <c r="C97" s="8" t="inlineStr">
        <is>
          <t xml:space="preserve">Consumables</t>
        </is>
      </c>
      <c r="D97" s="3">
        <v>287.0</v>
      </c>
      <c r="E97" s="13">
        <v>1</v>
      </c>
    </row>
    <row r="98">
      <c r="A98" s="8" t="inlineStr">
        <is>
          <t xml:space="preserve">RENT-ACC-LDT100</t>
        </is>
      </c>
      <c r="B98" s="8" t="inlineStr">
        <is>
          <t xml:space="preserve">Tubing 100' tygon, large diameter</t>
        </is>
      </c>
      <c r="C98" s="8" t="inlineStr">
        <is>
          <t xml:space="preserve">Consumables</t>
        </is>
      </c>
      <c r="D98" s="3">
        <v>71.0</v>
      </c>
      <c r="E98" s="13">
        <v>1</v>
      </c>
    </row>
    <row r="99">
      <c r="A99" s="8" t="inlineStr">
        <is>
          <t xml:space="preserve">RENT-ACC-PUMP-FILT10</t>
        </is>
      </c>
      <c r="B99" s="8" t="inlineStr">
        <is>
          <t xml:space="preserve">G7 pump particulate filters, 10</t>
        </is>
      </c>
      <c r="C99" s="8" t="inlineStr">
        <is>
          <t xml:space="preserve">Consumables</t>
        </is>
      </c>
      <c r="D99" s="3">
        <v>20.0</v>
      </c>
      <c r="E99" s="13">
        <v>1</v>
      </c>
    </row>
    <row r="100">
      <c r="A100" s="8" t="inlineStr">
        <is>
          <t xml:space="preserve">RENT-ACC-S-CAL</t>
        </is>
      </c>
      <c r="B100" s="8" t="inlineStr">
        <is>
          <t xml:space="preserve">G7 single-gas calibration cap</t>
        </is>
      </c>
      <c r="C100" s="8" t="inlineStr">
        <is>
          <t xml:space="preserve">Consumables</t>
        </is>
      </c>
      <c r="D100" s="3">
        <v>19.0</v>
      </c>
      <c r="E100" s="13">
        <v>1</v>
      </c>
    </row>
    <row r="101">
      <c r="A101" s="8" t="inlineStr">
        <is>
          <t xml:space="preserve">RENT-ACC-Q-CAL</t>
        </is>
      </c>
      <c r="B101" s="8" t="inlineStr">
        <is>
          <t xml:space="preserve">G7 multi-gas calibration cap</t>
        </is>
      </c>
      <c r="C101" s="8" t="inlineStr">
        <is>
          <t xml:space="preserve">Consumables</t>
        </is>
      </c>
      <c r="D101" s="3">
        <v>25.0</v>
      </c>
      <c r="E101" s="13">
        <v>1</v>
      </c>
    </row>
    <row r="102">
      <c r="A102" s="8" t="inlineStr">
        <is>
          <t xml:space="preserve">RENT-ACC-G6-SENCAP</t>
        </is>
      </c>
      <c r="B102" s="8" t="inlineStr">
        <is>
          <t xml:space="preserve">G6 replacement sensor cap</t>
        </is>
      </c>
      <c r="C102" s="8" t="inlineStr">
        <is>
          <t xml:space="preserve">Consumables</t>
        </is>
      </c>
      <c r="D102" s="3">
        <v>17.0</v>
      </c>
      <c r="E102" s="13">
        <v>1</v>
      </c>
    </row>
    <row r="103">
      <c r="A103" s="8" t="inlineStr">
        <is>
          <t xml:space="preserve">RENT-GAS-34L-Q</t>
        </is>
      </c>
      <c r="B103" s="8" t="inlineStr">
        <is>
          <t xml:space="preserve">34L Gas Cylinder, H2S 25ppm/CO 100ppm/CH4 50%LEL/O2 18%</t>
        </is>
      </c>
      <c r="C103" s="8" t="inlineStr">
        <is>
          <t xml:space="preserve">Consumables</t>
        </is>
      </c>
      <c r="D103" s="3">
        <v>207.0</v>
      </c>
      <c r="E103" s="13">
        <v>1</v>
      </c>
    </row>
    <row r="104">
      <c r="A104" s="8" t="inlineStr">
        <is>
          <t xml:space="preserve">RENT-GAS-116L-Q</t>
        </is>
      </c>
      <c r="B104" s="8" t="inlineStr">
        <is>
          <t xml:space="preserve">116L Gas Cylinder, H2S 25ppm/CO 100ppm/CH4 50%LEL/O2 18%</t>
        </is>
      </c>
      <c r="C104" s="8" t="inlineStr">
        <is>
          <t xml:space="preserve">Consumables</t>
        </is>
      </c>
      <c r="D104" s="3">
        <v>292.0</v>
      </c>
      <c r="E104" s="13">
        <v>1</v>
      </c>
    </row>
    <row r="105">
      <c r="A105" s="8" t="inlineStr">
        <is>
          <t xml:space="preserve">RENT-GAS-116L-S</t>
        </is>
      </c>
      <c r="B105" s="8" t="inlineStr">
        <is>
          <t xml:space="preserve">116L Gas Cylinder, SO2 10ppm, Balance air</t>
        </is>
      </c>
      <c r="C105" s="8" t="inlineStr">
        <is>
          <t xml:space="preserve">Consumables</t>
        </is>
      </c>
      <c r="D105" s="3">
        <v>292.0</v>
      </c>
      <c r="E105" s="13">
        <v>1</v>
      </c>
    </row>
    <row r="106">
      <c r="A106" s="8" t="inlineStr">
        <is>
          <t xml:space="preserve">RENT-GAS-58L-A</t>
        </is>
      </c>
      <c r="B106" s="8" t="inlineStr">
        <is>
          <t xml:space="preserve">58L Gas Cylinder, NH3 50ppm, Balance air</t>
        </is>
      </c>
      <c r="C106" s="8" t="inlineStr">
        <is>
          <t xml:space="preserve">Consumables</t>
        </is>
      </c>
      <c r="D106" s="3">
        <v>292.0</v>
      </c>
      <c r="E106" s="13">
        <v>1</v>
      </c>
    </row>
    <row r="107">
      <c r="A107" s="8" t="inlineStr">
        <is>
          <t xml:space="preserve">RENT-GAS-116L-A</t>
        </is>
      </c>
      <c r="B107" s="8" t="inlineStr">
        <is>
          <t xml:space="preserve">116L Gas Cylinder, NH3 50ppm, Balance air</t>
        </is>
      </c>
      <c r="C107" s="8" t="inlineStr">
        <is>
          <t xml:space="preserve">Consumables</t>
        </is>
      </c>
      <c r="D107" s="3">
        <v>427.0</v>
      </c>
      <c r="E107" s="13">
        <v>1</v>
      </c>
    </row>
    <row r="108">
      <c r="A108" s="8" t="inlineStr">
        <is>
          <t xml:space="preserve">RENT-GAS-58L-L</t>
        </is>
      </c>
      <c r="B108" s="8" t="inlineStr">
        <is>
          <t xml:space="preserve">58L Gas Cylinder, Cl2 5ppm, Balance air</t>
        </is>
      </c>
      <c r="C108" s="8" t="inlineStr">
        <is>
          <t xml:space="preserve">Consumables</t>
        </is>
      </c>
      <c r="D108" s="3">
        <v>243.0</v>
      </c>
      <c r="E108" s="13">
        <v>1</v>
      </c>
    </row>
    <row r="109">
      <c r="A109" s="8" t="inlineStr">
        <is>
          <t xml:space="preserve">RENT-GAS-58L-K</t>
        </is>
      </c>
      <c r="B109" s="8" t="inlineStr">
        <is>
          <t xml:space="preserve">58L Gas Cylinder, NO2, 10 ppm, Balance air</t>
        </is>
      </c>
      <c r="C109" s="8" t="inlineStr">
        <is>
          <t xml:space="preserve">Consumables</t>
        </is>
      </c>
      <c r="D109" s="3">
        <v>292.0</v>
      </c>
      <c r="E109" s="13">
        <v>1</v>
      </c>
    </row>
    <row r="110">
      <c r="A110" s="8" t="inlineStr">
        <is>
          <t xml:space="preserve">RENT-GAS-116L-K</t>
        </is>
      </c>
      <c r="B110" s="8" t="inlineStr">
        <is>
          <t xml:space="preserve">116L Gas Cylinder, NO2, 10 ppm, Balance air</t>
        </is>
      </c>
      <c r="C110" s="8" t="inlineStr">
        <is>
          <t xml:space="preserve">Consumables</t>
        </is>
      </c>
      <c r="D110" s="3">
        <v>427.0</v>
      </c>
      <c r="E110" s="13">
        <v>1</v>
      </c>
    </row>
    <row r="111">
      <c r="A111" s="8" t="inlineStr">
        <is>
          <t xml:space="preserve">RENT-GAS-116L-N</t>
        </is>
      </c>
      <c r="B111" s="8" t="inlineStr">
        <is>
          <t xml:space="preserve">116L Gas Cylinder, HCN 10 ppm, Balance air</t>
        </is>
      </c>
      <c r="C111" s="8" t="inlineStr">
        <is>
          <t xml:space="preserve">Consumables</t>
        </is>
      </c>
      <c r="D111" s="3">
        <v>427.0</v>
      </c>
      <c r="E111" s="13">
        <v>1</v>
      </c>
    </row>
    <row r="112">
      <c r="A112" s="8" t="inlineStr">
        <is>
          <t xml:space="preserve">RENT-GAS-58L-C</t>
        </is>
      </c>
      <c r="B112" s="8" t="inlineStr">
        <is>
          <t xml:space="preserve">58L Gas Cylinder, CO2 5000 ppm, Balance air</t>
        </is>
      </c>
      <c r="C112" s="8" t="inlineStr">
        <is>
          <t xml:space="preserve">Consumables</t>
        </is>
      </c>
      <c r="D112" s="3">
        <v>243.0</v>
      </c>
      <c r="E112" s="13">
        <v>1</v>
      </c>
    </row>
    <row r="113">
      <c r="A113" s="8" t="inlineStr">
        <is>
          <t xml:space="preserve">RENT-GAS-58L-V</t>
        </is>
      </c>
      <c r="B113" s="8" t="inlineStr">
        <is>
          <t xml:space="preserve">58L Gas Cylinder, Isobutylene 100ppm, Balance air</t>
        </is>
      </c>
      <c r="C113" s="8" t="inlineStr">
        <is>
          <t xml:space="preserve">Consumables</t>
        </is>
      </c>
      <c r="D113" s="3">
        <v>243.0</v>
      </c>
      <c r="E113" s="13">
        <v>1</v>
      </c>
    </row>
    <row r="114">
      <c r="A114" s="8" t="inlineStr">
        <is>
          <t xml:space="preserve">RENT-GAS-116L-V</t>
        </is>
      </c>
      <c r="B114" s="8" t="inlineStr">
        <is>
          <t xml:space="preserve">116L Gas Cylinder, Isobutylene 100ppm, Balance air</t>
        </is>
      </c>
      <c r="C114" s="8" t="inlineStr">
        <is>
          <t xml:space="preserve">Consumables</t>
        </is>
      </c>
      <c r="D114" s="3">
        <v>427.0</v>
      </c>
      <c r="E114" s="13">
        <v>1</v>
      </c>
    </row>
    <row r="115">
      <c r="A115" s="8" t="inlineStr">
        <is>
          <t xml:space="preserve">RENT-GAS-10AL-ZEROAIR</t>
        </is>
      </c>
      <c r="B115" s="8" t="inlineStr">
        <is>
          <t xml:space="preserve">Gas, 10AL Gas Cylinder, UN1002 Air, 103L</t>
        </is>
      </c>
      <c r="C115" s="8" t="inlineStr">
        <is>
          <t xml:space="preserve">Consumables</t>
        </is>
      </c>
      <c r="D115" s="3">
        <v>292.0</v>
      </c>
      <c r="E115" s="13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Blackline Safety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Rental Quoting Tool</dc:title>
  <dc:creator>Blackline Rental Pricing</dc:creator>
  <cp:lastModifiedBy>Blackline Rental Pricing</cp:lastModifiedBy>
</cp:coreProperties>
</file>